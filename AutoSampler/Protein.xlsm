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AutoSampler\AutoSampler _GB\"/>
    </mc:Choice>
  </mc:AlternateContent>
  <xr:revisionPtr revIDLastSave="0" documentId="8_{8890AE86-1303-48C7-B404-FECE4BC2DB9F}" xr6:coauthVersionLast="36" xr6:coauthVersionMax="36" xr10:uidLastSave="{00000000-0000-0000-0000-000000000000}"/>
  <bookViews>
    <workbookView xWindow="0" yWindow="0" windowWidth="14370" windowHeight="4320" xr2:uid="{00000000-000D-0000-FFFF-FFFF00000000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3" i="1" s="1"/>
  <c r="C27" i="1" s="1"/>
  <c r="D4" i="1"/>
  <c r="D3" i="1" s="1"/>
  <c r="D27" i="1" s="1"/>
  <c r="E4" i="1"/>
  <c r="C5" i="1"/>
  <c r="D5" i="1"/>
  <c r="F5" i="1"/>
  <c r="F29" i="1" s="1"/>
  <c r="C7" i="1"/>
  <c r="C6" i="1" s="1"/>
  <c r="D7" i="1"/>
  <c r="D6" i="1" s="1"/>
  <c r="E7" i="1"/>
  <c r="D8" i="1"/>
  <c r="C10" i="1"/>
  <c r="C16" i="1" s="1"/>
  <c r="C40" i="1" s="1"/>
  <c r="D10" i="1"/>
  <c r="D22" i="1" s="1"/>
  <c r="E10" i="1"/>
  <c r="D11" i="1"/>
  <c r="F11" i="1"/>
  <c r="C13" i="1"/>
  <c r="C12" i="1" s="1"/>
  <c r="C36" i="1" s="1"/>
  <c r="D13" i="1"/>
  <c r="D14" i="1" s="1"/>
  <c r="E13" i="1"/>
  <c r="E19" i="1" s="1"/>
  <c r="E43" i="1" s="1"/>
  <c r="C14" i="1"/>
  <c r="C20" i="1" s="1"/>
  <c r="C44" i="1" s="1"/>
  <c r="B15" i="1"/>
  <c r="B21" i="1" s="1"/>
  <c r="E15" i="1"/>
  <c r="E39" i="1" s="1"/>
  <c r="F15" i="1"/>
  <c r="E16" i="1"/>
  <c r="F16" i="1"/>
  <c r="D17" i="1"/>
  <c r="E17" i="1"/>
  <c r="F17" i="1"/>
  <c r="B18" i="1"/>
  <c r="B24" i="1" s="1"/>
  <c r="E18" i="1"/>
  <c r="E42" i="1" s="1"/>
  <c r="F18" i="1"/>
  <c r="F42" i="1" s="1"/>
  <c r="C19" i="1"/>
  <c r="C43" i="1" s="1"/>
  <c r="D19" i="1"/>
  <c r="D43" i="1" s="1"/>
  <c r="F19" i="1"/>
  <c r="E20" i="1"/>
  <c r="E44" i="1" s="1"/>
  <c r="F20" i="1"/>
  <c r="F44" i="1" s="1"/>
  <c r="E21" i="1"/>
  <c r="F21" i="1"/>
  <c r="E22" i="1"/>
  <c r="F22" i="1"/>
  <c r="D23" i="1"/>
  <c r="E23" i="1"/>
  <c r="F23" i="1"/>
  <c r="E24" i="1"/>
  <c r="F24" i="1"/>
  <c r="C25" i="1"/>
  <c r="F25" i="1"/>
  <c r="E26" i="1"/>
  <c r="F26" i="1"/>
  <c r="B27" i="1"/>
  <c r="E27" i="1"/>
  <c r="F27" i="1"/>
  <c r="C28" i="1"/>
  <c r="D28" i="1"/>
  <c r="E28" i="1"/>
  <c r="F28" i="1"/>
  <c r="C29" i="1"/>
  <c r="D29" i="1"/>
  <c r="E29" i="1"/>
  <c r="E31" i="1"/>
  <c r="B33" i="1"/>
  <c r="E33" i="1"/>
  <c r="F33" i="1"/>
  <c r="D34" i="1"/>
  <c r="E34" i="1"/>
  <c r="F34" i="1"/>
  <c r="D35" i="1"/>
  <c r="E35" i="1"/>
  <c r="F35" i="1"/>
  <c r="B36" i="1"/>
  <c r="E36" i="1"/>
  <c r="F36" i="1"/>
  <c r="C37" i="1"/>
  <c r="F37" i="1"/>
  <c r="E38" i="1"/>
  <c r="F38" i="1"/>
  <c r="B39" i="1"/>
  <c r="F39" i="1"/>
  <c r="E40" i="1"/>
  <c r="F40" i="1"/>
  <c r="D41" i="1"/>
  <c r="E41" i="1"/>
  <c r="F41" i="1"/>
  <c r="B42" i="1"/>
  <c r="F43" i="1"/>
  <c r="D20" i="1" l="1"/>
  <c r="D44" i="1" s="1"/>
  <c r="D26" i="1"/>
  <c r="D16" i="1"/>
  <c r="D40" i="1" s="1"/>
  <c r="D12" i="1"/>
  <c r="C38" i="1"/>
  <c r="C26" i="1"/>
  <c r="D9" i="1"/>
  <c r="E37" i="1"/>
  <c r="E25" i="1"/>
  <c r="C8" i="1"/>
  <c r="D37" i="1"/>
  <c r="D25" i="1"/>
  <c r="C9" i="1"/>
  <c r="C18" i="1"/>
  <c r="C42" i="1" s="1"/>
  <c r="D38" i="1"/>
  <c r="C22" i="1"/>
  <c r="C34" i="1"/>
  <c r="C24" i="1"/>
  <c r="C11" i="1"/>
  <c r="A27" i="1"/>
  <c r="D33" i="1" l="1"/>
  <c r="D15" i="1"/>
  <c r="D39" i="1" s="1"/>
  <c r="D18" i="1"/>
  <c r="D42" i="1" s="1"/>
  <c r="D36" i="1"/>
  <c r="D24" i="1"/>
  <c r="D21" i="1"/>
  <c r="C33" i="1"/>
  <c r="C15" i="1"/>
  <c r="C39" i="1" s="1"/>
  <c r="C21" i="1"/>
  <c r="C35" i="1"/>
  <c r="C17" i="1"/>
  <c r="C41" i="1" s="1"/>
  <c r="C23" i="1"/>
  <c r="J16" i="1"/>
  <c r="J17" i="1"/>
  <c r="J18" i="1"/>
  <c r="J19" i="1"/>
  <c r="J20" i="1"/>
  <c r="J21" i="1"/>
  <c r="J15" i="1"/>
  <c r="C31" i="1" s="1"/>
  <c r="C30" i="1" l="1"/>
  <c r="C32" i="1"/>
  <c r="J27" i="1"/>
  <c r="J24" i="1"/>
  <c r="J28" i="1"/>
  <c r="J29" i="1"/>
  <c r="J22" i="1"/>
  <c r="J23" i="1"/>
  <c r="J25" i="1"/>
  <c r="J26" i="1"/>
  <c r="K15" i="1"/>
  <c r="D31" i="1" s="1"/>
  <c r="D32" i="1" l="1"/>
  <c r="D30" i="1"/>
  <c r="J37" i="1"/>
  <c r="J31" i="1"/>
  <c r="J34" i="1"/>
  <c r="J35" i="1"/>
  <c r="J30" i="1"/>
  <c r="J36" i="1"/>
  <c r="J33" i="1"/>
  <c r="J32" i="1"/>
  <c r="K16" i="1"/>
  <c r="J44" i="1" l="1"/>
  <c r="J43" i="1"/>
  <c r="J42" i="1"/>
  <c r="J41" i="1"/>
  <c r="J39" i="1"/>
  <c r="J38" i="1"/>
  <c r="J40" i="1"/>
  <c r="K17" i="1"/>
  <c r="K18" i="1" l="1"/>
  <c r="K19" i="1" l="1"/>
  <c r="K20" i="1" l="1"/>
  <c r="K21" i="1" l="1"/>
  <c r="K22" i="1" l="1"/>
  <c r="K23" i="1" l="1"/>
  <c r="K24" i="1" l="1"/>
  <c r="K25" i="1" l="1"/>
  <c r="K26" i="1" l="1"/>
  <c r="K27" i="1" l="1"/>
  <c r="K28" i="1" l="1"/>
  <c r="K29" i="1" l="1"/>
  <c r="K30" i="1" l="1"/>
  <c r="K31" i="1" l="1"/>
  <c r="K32" i="1" l="1"/>
  <c r="K33" i="1" l="1"/>
  <c r="K34" i="1" l="1"/>
  <c r="K35" i="1" l="1"/>
  <c r="K36" i="1" l="1"/>
  <c r="K37" i="1" l="1"/>
</calcChain>
</file>

<file path=xl/sharedStrings.xml><?xml version="1.0" encoding="utf-8"?>
<sst xmlns="http://schemas.openxmlformats.org/spreadsheetml/2006/main" count="19" uniqueCount="19">
  <si>
    <t>X</t>
    <phoneticPr fontId="1" type="noConversion"/>
  </si>
  <si>
    <t>Y</t>
    <phoneticPr fontId="1" type="noConversion"/>
  </si>
  <si>
    <t>Z</t>
    <phoneticPr fontId="1" type="noConversion"/>
  </si>
  <si>
    <t>Sample Position:</t>
    <phoneticPr fontId="1" type="noConversion"/>
  </si>
  <si>
    <t>Take Sample</t>
    <phoneticPr fontId="1" type="noConversion"/>
  </si>
  <si>
    <t>Volume (ul)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</si>
  <si>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</si>
  <si>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</si>
  <si>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</si>
  <si>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Sample 1</t>
    <phoneticPr fontId="1" type="noConversion"/>
  </si>
  <si>
    <t>Sample 2</t>
    <phoneticPr fontId="1" type="noConversion"/>
  </si>
  <si>
    <t>Ctl+Shift+S</t>
    <phoneticPr fontId="1" type="noConversion"/>
  </si>
  <si>
    <t>Cuvette Position</t>
    <phoneticPr fontId="1" type="noConversion"/>
  </si>
  <si>
    <t>Cuvette Position:</t>
    <phoneticPr fontId="1" type="noConversion"/>
  </si>
  <si>
    <t>Water Position:</t>
    <phoneticPr fontId="1" type="noConversion"/>
  </si>
  <si>
    <t>Waste Tank Position:</t>
    <phoneticPr fontId="1" type="noConversion"/>
  </si>
  <si>
    <t>Washing</t>
    <phoneticPr fontId="1" type="noConversion"/>
  </si>
  <si>
    <t>Water</t>
    <phoneticPr fontId="1" type="noConversion"/>
  </si>
  <si>
    <t>Waste Tank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</si>
</sst>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rgb="FFFF0000"/>
      <name val="Arial"/>
      <family val="2"/>
    </font>
    <font>
      <sz val="12"/>
      <color rgb="FFFFC000"/>
      <name val="新細明體"/>
      <family val="2"/>
      <charset val="136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3" borderId="10" xfId="0" applyFill="1" applyBorder="1">
      <alignment vertical="center"/>
    </xf>
    <xf numFmtId="0" fontId="2" fillId="4" borderId="2" xfId="0" applyFont="1" applyFill="1" applyBorder="1">
      <alignment vertical="center"/>
    </xf>
    <xf numFmtId="0" fontId="2" fillId="4" borderId="0" xfId="0" applyFont="1" applyFill="1" applyBorder="1">
      <alignment vertical="center"/>
    </xf>
    <xf numFmtId="0" fontId="2" fillId="4" borderId="6" xfId="0" applyFont="1" applyFill="1" applyBorder="1">
      <alignment vertical="center"/>
    </xf>
    <xf numFmtId="0" fontId="0" fillId="3" borderId="11" xfId="0" applyFill="1" applyBorder="1" applyAlignment="1">
      <alignment horizontal="center" vertical="center"/>
    </xf>
    <xf numFmtId="0" fontId="2" fillId="4" borderId="4" xfId="0" applyFont="1" applyFill="1" applyBorder="1">
      <alignment vertical="center"/>
    </xf>
    <xf numFmtId="0" fontId="2" fillId="4" borderId="9" xfId="0" applyFont="1" applyFill="1" applyBorder="1">
      <alignment vertical="center"/>
    </xf>
    <xf numFmtId="0" fontId="2" fillId="4" borderId="13" xfId="0" applyFont="1" applyFill="1" applyBorder="1">
      <alignment vertical="center"/>
    </xf>
    <xf numFmtId="0" fontId="2" fillId="4" borderId="8" xfId="0" applyFont="1" applyFill="1" applyBorder="1">
      <alignment vertical="center"/>
    </xf>
    <xf numFmtId="0" fontId="0" fillId="3" borderId="14" xfId="0" applyFill="1" applyBorder="1" applyAlignment="1">
      <alignment horizontal="center" vertical="center"/>
    </xf>
    <xf numFmtId="0" fontId="2" fillId="4" borderId="1" xfId="0" applyFont="1" applyFill="1" applyBorder="1">
      <alignment vertical="center"/>
    </xf>
    <xf numFmtId="0" fontId="2" fillId="4" borderId="3" xfId="0" applyFont="1" applyFill="1" applyBorder="1">
      <alignment vertical="center"/>
    </xf>
    <xf numFmtId="0" fontId="2" fillId="5" borderId="0" xfId="0" applyFont="1" applyFill="1" applyBorder="1">
      <alignment vertical="center"/>
    </xf>
    <xf numFmtId="0" fontId="2" fillId="5" borderId="5" xfId="0" applyFont="1" applyFill="1" applyBorder="1">
      <alignment vertical="center"/>
    </xf>
    <xf numFmtId="0" fontId="2" fillId="5" borderId="6" xfId="0" applyFont="1" applyFill="1" applyBorder="1">
      <alignment vertical="center"/>
    </xf>
    <xf numFmtId="0" fontId="2" fillId="5" borderId="8" xfId="0" applyFont="1" applyFill="1" applyBorder="1">
      <alignment vertical="center"/>
    </xf>
    <xf numFmtId="0" fontId="2" fillId="5" borderId="7" xfId="0" applyFont="1" applyFill="1" applyBorder="1">
      <alignment vertical="center"/>
    </xf>
    <xf numFmtId="0" fontId="2" fillId="5" borderId="9" xfId="0" applyFont="1" applyFill="1" applyBorder="1">
      <alignment vertical="center"/>
    </xf>
    <xf numFmtId="0" fontId="2" fillId="6" borderId="13" xfId="0" applyFont="1" applyFill="1" applyBorder="1">
      <alignment vertical="center"/>
    </xf>
    <xf numFmtId="0" fontId="2" fillId="6" borderId="5" xfId="0" applyFont="1" applyFill="1" applyBorder="1">
      <alignment vertical="center"/>
    </xf>
    <xf numFmtId="0" fontId="2" fillId="6" borderId="0" xfId="0" applyFont="1" applyFill="1" applyBorder="1">
      <alignment vertical="center"/>
    </xf>
    <xf numFmtId="0" fontId="2" fillId="6" borderId="6" xfId="0" applyFont="1" applyFill="1" applyBorder="1">
      <alignment vertical="center"/>
    </xf>
    <xf numFmtId="0" fontId="2" fillId="6" borderId="8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6" borderId="2" xfId="0" applyFont="1" applyFill="1" applyBorder="1">
      <alignment vertical="center"/>
    </xf>
    <xf numFmtId="0" fontId="2" fillId="6" borderId="3" xfId="0" applyFont="1" applyFill="1" applyBorder="1">
      <alignment vertical="center"/>
    </xf>
    <xf numFmtId="0" fontId="2" fillId="6" borderId="12" xfId="0" applyFont="1" applyFill="1" applyBorder="1">
      <alignment vertical="center"/>
    </xf>
    <xf numFmtId="0" fontId="2" fillId="6" borderId="4" xfId="0" applyFont="1" applyFill="1" applyBorder="1">
      <alignment vertical="center"/>
    </xf>
    <xf numFmtId="0" fontId="2" fillId="6" borderId="7" xfId="0" applyFont="1" applyFill="1" applyBorder="1">
      <alignment vertical="center"/>
    </xf>
    <xf numFmtId="0" fontId="2" fillId="6" borderId="9" xfId="0" applyFont="1" applyFill="1" applyBorder="1">
      <alignment vertical="center"/>
    </xf>
    <xf numFmtId="0" fontId="2" fillId="7" borderId="0" xfId="0" applyFont="1" applyFill="1" applyBorder="1">
      <alignment vertical="center"/>
    </xf>
    <xf numFmtId="0" fontId="2" fillId="7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2" fillId="5" borderId="12" xfId="0" applyFont="1" applyFill="1" applyBorder="1">
      <alignment vertical="center"/>
    </xf>
    <xf numFmtId="0" fontId="2" fillId="5" borderId="13" xfId="0" applyFont="1" applyFill="1" applyBorder="1">
      <alignment vertical="center"/>
    </xf>
    <xf numFmtId="0" fontId="2" fillId="5" borderId="4" xfId="0" applyFont="1" applyFill="1" applyBorder="1">
      <alignment vertical="center"/>
    </xf>
    <xf numFmtId="0" fontId="3" fillId="6" borderId="0" xfId="0" applyFont="1" applyFill="1">
      <alignment vertical="center"/>
    </xf>
    <xf numFmtId="0" fontId="0" fillId="2" borderId="1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L44"/>
  <sheetViews>
    <sheetView tabSelected="1" workbookViewId="0">
      <selection activeCell="G3" sqref="G3"/>
    </sheetView>
  </sheetViews>
  <sheetFormatPr defaultRowHeight="16.5" x14ac:dyDescent="0.25"/>
  <cols>
    <col min="1" max="1" width="18.125" customWidth="1"/>
    <col min="2" max="2" width="24.125" customWidth="1"/>
    <col min="3" max="3" width="12.375" customWidth="1"/>
    <col min="4" max="4" width="12.25" customWidth="1"/>
    <col min="5" max="5" width="12.5" customWidth="1"/>
    <col min="6" max="6" width="12.75" customWidth="1"/>
    <col min="9" max="9" width="24.875" customWidth="1"/>
    <col min="10" max="10" width="7.625" customWidth="1"/>
    <col min="11" max="11" width="8.375" customWidth="1"/>
    <col min="12" max="12" width="8.25" customWidth="1"/>
  </cols>
  <sheetData>
    <row r="1" spans="1:12" ht="17.25" thickBot="1" x14ac:dyDescent="0.3">
      <c r="B1" t="s">
        <v>11</v>
      </c>
    </row>
    <row r="2" spans="1:12" ht="26.65" customHeight="1" thickBot="1" x14ac:dyDescent="0.3">
      <c r="B2" s="2"/>
      <c r="C2" s="6" t="s">
        <v>0</v>
      </c>
      <c r="D2" s="6" t="s">
        <v>1</v>
      </c>
      <c r="E2" s="6" t="s">
        <v>2</v>
      </c>
      <c r="F2" s="11" t="s">
        <v>5</v>
      </c>
      <c r="J2" t="s">
        <v>6</v>
      </c>
      <c r="K2" t="s">
        <v>7</v>
      </c>
      <c r="L2" t="s">
        <v>8</v>
      </c>
    </row>
    <row r="3" spans="1:12" x14ac:dyDescent="0.25">
      <c r="A3" s="39" t="s">
        <v>4</v>
      </c>
      <c r="B3" s="15" t="s">
        <v>12</v>
      </c>
      <c r="C3" s="15">
        <f>C4</f>
        <v>58</v>
      </c>
      <c r="D3" s="15">
        <f>D4</f>
        <v>257</v>
      </c>
      <c r="E3" s="15">
        <v>0</v>
      </c>
      <c r="F3" s="16">
        <v>0</v>
      </c>
      <c r="I3" t="s">
        <v>13</v>
      </c>
      <c r="J3">
        <v>58</v>
      </c>
      <c r="K3">
        <v>257</v>
      </c>
      <c r="L3">
        <v>100</v>
      </c>
    </row>
    <row r="4" spans="1:12" x14ac:dyDescent="0.25">
      <c r="A4" s="40"/>
      <c r="B4" s="15"/>
      <c r="C4" s="15">
        <f>J3</f>
        <v>58</v>
      </c>
      <c r="D4" s="15">
        <f t="shared" ref="D4:E4" si="0">K3</f>
        <v>257</v>
      </c>
      <c r="E4" s="15">
        <f t="shared" si="0"/>
        <v>100</v>
      </c>
      <c r="F4" s="16">
        <v>0</v>
      </c>
      <c r="I4" t="s">
        <v>14</v>
      </c>
      <c r="J4">
        <v>120</v>
      </c>
      <c r="K4">
        <v>470</v>
      </c>
      <c r="L4">
        <v>100</v>
      </c>
    </row>
    <row r="5" spans="1:12" x14ac:dyDescent="0.25">
      <c r="A5" s="40"/>
      <c r="B5" s="15"/>
      <c r="C5" s="15">
        <f>C4</f>
        <v>58</v>
      </c>
      <c r="D5" s="14">
        <f>D4</f>
        <v>257</v>
      </c>
      <c r="E5" s="14">
        <v>0</v>
      </c>
      <c r="F5" s="16">
        <f>F4</f>
        <v>0</v>
      </c>
      <c r="I5" t="s">
        <v>15</v>
      </c>
      <c r="J5">
        <v>120</v>
      </c>
      <c r="K5">
        <v>550</v>
      </c>
      <c r="L5">
        <v>100</v>
      </c>
    </row>
    <row r="6" spans="1:12" x14ac:dyDescent="0.25">
      <c r="A6" s="40"/>
      <c r="B6" s="3" t="s">
        <v>9</v>
      </c>
      <c r="C6" s="4">
        <f>C7</f>
        <v>58</v>
      </c>
      <c r="D6" s="4">
        <f>D7</f>
        <v>0</v>
      </c>
      <c r="E6" s="4">
        <v>0</v>
      </c>
      <c r="F6" s="5">
        <v>0</v>
      </c>
    </row>
    <row r="7" spans="1:12" x14ac:dyDescent="0.25">
      <c r="A7" s="40"/>
      <c r="B7" s="3"/>
      <c r="C7" s="4">
        <f>J14</f>
        <v>58</v>
      </c>
      <c r="D7" s="4">
        <f>K14</f>
        <v>0</v>
      </c>
      <c r="E7" s="4">
        <f>L14</f>
        <v>100</v>
      </c>
      <c r="F7" s="5">
        <v>0</v>
      </c>
    </row>
    <row r="8" spans="1:12" ht="17.25" thickBot="1" x14ac:dyDescent="0.3">
      <c r="A8" s="41"/>
      <c r="B8" s="13"/>
      <c r="C8" s="10">
        <f>C7</f>
        <v>58</v>
      </c>
      <c r="D8" s="10">
        <f>D7</f>
        <v>0</v>
      </c>
      <c r="E8" s="10">
        <v>0</v>
      </c>
      <c r="F8" s="8">
        <v>0</v>
      </c>
    </row>
    <row r="9" spans="1:12" x14ac:dyDescent="0.25">
      <c r="A9" s="42" t="s">
        <v>16</v>
      </c>
      <c r="B9" s="14" t="s">
        <v>17</v>
      </c>
      <c r="C9" s="15">
        <f>C10</f>
        <v>120</v>
      </c>
      <c r="D9" s="14">
        <f>D10</f>
        <v>470</v>
      </c>
      <c r="E9" s="14">
        <v>0</v>
      </c>
      <c r="F9" s="16">
        <v>0</v>
      </c>
    </row>
    <row r="10" spans="1:12" x14ac:dyDescent="0.25">
      <c r="A10" s="43"/>
      <c r="B10" s="14"/>
      <c r="C10" s="15">
        <f>J4</f>
        <v>120</v>
      </c>
      <c r="D10" s="15">
        <f t="shared" ref="D10:E10" si="1">K4</f>
        <v>470</v>
      </c>
      <c r="E10" s="15">
        <f t="shared" si="1"/>
        <v>100</v>
      </c>
      <c r="F10" s="16">
        <v>0</v>
      </c>
    </row>
    <row r="11" spans="1:12" ht="17.25" thickBot="1" x14ac:dyDescent="0.3">
      <c r="A11" s="43"/>
      <c r="B11" s="17"/>
      <c r="C11" s="18">
        <f>C10</f>
        <v>120</v>
      </c>
      <c r="D11" s="17">
        <f>D10</f>
        <v>470</v>
      </c>
      <c r="E11" s="17">
        <v>0</v>
      </c>
      <c r="F11" s="19">
        <f>F10</f>
        <v>0</v>
      </c>
    </row>
    <row r="12" spans="1:12" x14ac:dyDescent="0.25">
      <c r="A12" s="43"/>
      <c r="B12" s="25" t="s">
        <v>18</v>
      </c>
      <c r="C12" s="28">
        <f>C13</f>
        <v>120</v>
      </c>
      <c r="D12" s="20">
        <f>D13</f>
        <v>550</v>
      </c>
      <c r="E12" s="20">
        <v>0</v>
      </c>
      <c r="F12" s="29">
        <v>0</v>
      </c>
    </row>
    <row r="13" spans="1:12" x14ac:dyDescent="0.25">
      <c r="A13" s="43"/>
      <c r="B13" s="26"/>
      <c r="C13" s="21">
        <f>J5</f>
        <v>120</v>
      </c>
      <c r="D13" s="22">
        <f t="shared" ref="D13:E13" si="2">K5</f>
        <v>550</v>
      </c>
      <c r="E13" s="22">
        <f t="shared" si="2"/>
        <v>100</v>
      </c>
      <c r="F13" s="23">
        <v>0</v>
      </c>
      <c r="I13" s="1" t="s">
        <v>3</v>
      </c>
    </row>
    <row r="14" spans="1:12" ht="17.25" thickBot="1" x14ac:dyDescent="0.3">
      <c r="A14" s="43"/>
      <c r="B14" s="27"/>
      <c r="C14" s="30">
        <f>C13</f>
        <v>120</v>
      </c>
      <c r="D14" s="24">
        <f>D13</f>
        <v>550</v>
      </c>
      <c r="E14" s="24">
        <v>0</v>
      </c>
      <c r="F14" s="31">
        <v>0</v>
      </c>
      <c r="I14">
        <v>1</v>
      </c>
      <c r="J14">
        <v>58</v>
      </c>
      <c r="K14">
        <v>0</v>
      </c>
      <c r="L14">
        <v>100</v>
      </c>
    </row>
    <row r="15" spans="1:12" x14ac:dyDescent="0.25">
      <c r="A15" s="43"/>
      <c r="B15" s="33" t="str">
        <f>B9</f>
        <v>Water</v>
      </c>
      <c r="C15" s="32">
        <f>C9</f>
        <v>120</v>
      </c>
      <c r="D15" s="32">
        <f t="shared" ref="D15:F15" si="3">D9</f>
        <v>470</v>
      </c>
      <c r="E15" s="32">
        <f t="shared" si="3"/>
        <v>0</v>
      </c>
      <c r="F15" s="32">
        <f t="shared" si="3"/>
        <v>0</v>
      </c>
      <c r="I15">
        <v>2</v>
      </c>
      <c r="J15">
        <f>$J$14</f>
        <v>58</v>
      </c>
      <c r="K15">
        <f>K14+9</f>
        <v>9</v>
      </c>
      <c r="L15">
        <v>100</v>
      </c>
    </row>
    <row r="16" spans="1:12" x14ac:dyDescent="0.25">
      <c r="A16" s="43"/>
      <c r="B16" s="33"/>
      <c r="C16" s="32">
        <f t="shared" ref="C16:F16" si="4">C10</f>
        <v>120</v>
      </c>
      <c r="D16" s="32">
        <f t="shared" si="4"/>
        <v>470</v>
      </c>
      <c r="E16" s="32">
        <f t="shared" si="4"/>
        <v>100</v>
      </c>
      <c r="F16" s="32">
        <f t="shared" si="4"/>
        <v>0</v>
      </c>
      <c r="I16">
        <v>3</v>
      </c>
      <c r="J16">
        <f t="shared" ref="J16:J21" si="5">$J$14</f>
        <v>58</v>
      </c>
      <c r="K16">
        <f t="shared" ref="K16:K21" si="6">K15+9</f>
        <v>18</v>
      </c>
      <c r="L16">
        <v>100</v>
      </c>
    </row>
    <row r="17" spans="1:12" x14ac:dyDescent="0.25">
      <c r="A17" s="43"/>
      <c r="B17" s="33"/>
      <c r="C17" s="32">
        <f t="shared" ref="C17:F17" si="7">C11</f>
        <v>120</v>
      </c>
      <c r="D17" s="32">
        <f t="shared" si="7"/>
        <v>470</v>
      </c>
      <c r="E17" s="32">
        <f t="shared" si="7"/>
        <v>0</v>
      </c>
      <c r="F17" s="32">
        <f t="shared" si="7"/>
        <v>0</v>
      </c>
      <c r="I17">
        <v>4</v>
      </c>
      <c r="J17">
        <f t="shared" si="5"/>
        <v>58</v>
      </c>
      <c r="K17">
        <f t="shared" si="6"/>
        <v>27</v>
      </c>
      <c r="L17">
        <v>100</v>
      </c>
    </row>
    <row r="18" spans="1:12" x14ac:dyDescent="0.25">
      <c r="A18" s="43"/>
      <c r="B18" s="26" t="str">
        <f>B12</f>
        <v>Waste Tank</v>
      </c>
      <c r="C18" s="22">
        <f>C12</f>
        <v>120</v>
      </c>
      <c r="D18" s="22">
        <f t="shared" ref="D18:F18" si="8">D12</f>
        <v>550</v>
      </c>
      <c r="E18" s="22">
        <f t="shared" si="8"/>
        <v>0</v>
      </c>
      <c r="F18" s="22">
        <f t="shared" si="8"/>
        <v>0</v>
      </c>
      <c r="I18">
        <v>5</v>
      </c>
      <c r="J18">
        <f t="shared" si="5"/>
        <v>58</v>
      </c>
      <c r="K18">
        <f t="shared" si="6"/>
        <v>36</v>
      </c>
      <c r="L18">
        <v>100</v>
      </c>
    </row>
    <row r="19" spans="1:12" x14ac:dyDescent="0.25">
      <c r="A19" s="43"/>
      <c r="B19" s="26"/>
      <c r="C19" s="22">
        <f t="shared" ref="C19:F19" si="9">C13</f>
        <v>120</v>
      </c>
      <c r="D19" s="22">
        <f t="shared" si="9"/>
        <v>550</v>
      </c>
      <c r="E19" s="22">
        <f t="shared" si="9"/>
        <v>100</v>
      </c>
      <c r="F19" s="22">
        <f t="shared" si="9"/>
        <v>0</v>
      </c>
      <c r="I19">
        <v>6</v>
      </c>
      <c r="J19">
        <f t="shared" si="5"/>
        <v>58</v>
      </c>
      <c r="K19">
        <f t="shared" si="6"/>
        <v>45</v>
      </c>
      <c r="L19">
        <v>100</v>
      </c>
    </row>
    <row r="20" spans="1:12" x14ac:dyDescent="0.25">
      <c r="A20" s="43"/>
      <c r="B20" s="26"/>
      <c r="C20" s="22">
        <f t="shared" ref="C20:F20" si="10">C14</f>
        <v>120</v>
      </c>
      <c r="D20" s="22">
        <f t="shared" si="10"/>
        <v>550</v>
      </c>
      <c r="E20" s="22">
        <f t="shared" si="10"/>
        <v>0</v>
      </c>
      <c r="F20" s="22">
        <f t="shared" si="10"/>
        <v>0</v>
      </c>
      <c r="I20">
        <v>7</v>
      </c>
      <c r="J20">
        <f t="shared" si="5"/>
        <v>58</v>
      </c>
      <c r="K20">
        <f t="shared" si="6"/>
        <v>54</v>
      </c>
      <c r="L20">
        <v>100</v>
      </c>
    </row>
    <row r="21" spans="1:12" x14ac:dyDescent="0.25">
      <c r="A21" s="43"/>
      <c r="B21" s="33" t="str">
        <f>B15</f>
        <v>Water</v>
      </c>
      <c r="C21" s="32">
        <f>C9</f>
        <v>120</v>
      </c>
      <c r="D21" s="32">
        <f t="shared" ref="D21:F21" si="11">D9</f>
        <v>470</v>
      </c>
      <c r="E21" s="32">
        <f t="shared" si="11"/>
        <v>0</v>
      </c>
      <c r="F21" s="32">
        <f t="shared" si="11"/>
        <v>0</v>
      </c>
      <c r="I21">
        <v>8</v>
      </c>
      <c r="J21">
        <f t="shared" si="5"/>
        <v>58</v>
      </c>
      <c r="K21">
        <f t="shared" si="6"/>
        <v>63</v>
      </c>
      <c r="L21">
        <v>100</v>
      </c>
    </row>
    <row r="22" spans="1:12" x14ac:dyDescent="0.25">
      <c r="A22" s="43"/>
      <c r="B22" s="33"/>
      <c r="C22" s="32">
        <f t="shared" ref="C22:F22" si="12">C10</f>
        <v>120</v>
      </c>
      <c r="D22" s="32">
        <f t="shared" si="12"/>
        <v>470</v>
      </c>
      <c r="E22" s="32">
        <f t="shared" si="12"/>
        <v>100</v>
      </c>
      <c r="F22" s="32">
        <f t="shared" si="12"/>
        <v>0</v>
      </c>
      <c r="I22">
        <v>9</v>
      </c>
      <c r="J22">
        <f>J21-9</f>
        <v>49</v>
      </c>
      <c r="K22">
        <f>K21</f>
        <v>63</v>
      </c>
      <c r="L22">
        <v>100</v>
      </c>
    </row>
    <row r="23" spans="1:12" x14ac:dyDescent="0.25">
      <c r="A23" s="43"/>
      <c r="B23" s="33"/>
      <c r="C23" s="32">
        <f t="shared" ref="C23:F23" si="13">C11</f>
        <v>120</v>
      </c>
      <c r="D23" s="32">
        <f t="shared" si="13"/>
        <v>470</v>
      </c>
      <c r="E23" s="32">
        <f t="shared" si="13"/>
        <v>0</v>
      </c>
      <c r="F23" s="32">
        <f t="shared" si="13"/>
        <v>0</v>
      </c>
      <c r="I23">
        <v>10</v>
      </c>
      <c r="J23">
        <f>J21-9</f>
        <v>49</v>
      </c>
      <c r="K23">
        <f t="shared" ref="K23:K29" si="14">K22-9</f>
        <v>54</v>
      </c>
      <c r="L23">
        <v>100</v>
      </c>
    </row>
    <row r="24" spans="1:12" x14ac:dyDescent="0.25">
      <c r="A24" s="43"/>
      <c r="B24" s="26" t="str">
        <f>B18</f>
        <v>Waste Tank</v>
      </c>
      <c r="C24" s="22">
        <f t="shared" ref="C24:F24" si="15">C12</f>
        <v>120</v>
      </c>
      <c r="D24" s="22">
        <f t="shared" si="15"/>
        <v>550</v>
      </c>
      <c r="E24" s="22">
        <f t="shared" si="15"/>
        <v>0</v>
      </c>
      <c r="F24" s="22">
        <f t="shared" si="15"/>
        <v>0</v>
      </c>
      <c r="I24">
        <v>11</v>
      </c>
      <c r="J24">
        <f>J21-9</f>
        <v>49</v>
      </c>
      <c r="K24">
        <f t="shared" si="14"/>
        <v>45</v>
      </c>
      <c r="L24">
        <v>100</v>
      </c>
    </row>
    <row r="25" spans="1:12" x14ac:dyDescent="0.25">
      <c r="A25" s="43"/>
      <c r="B25" s="26"/>
      <c r="C25" s="22">
        <f t="shared" ref="C25:F25" si="16">C13</f>
        <v>120</v>
      </c>
      <c r="D25" s="22">
        <f t="shared" si="16"/>
        <v>550</v>
      </c>
      <c r="E25" s="22">
        <f t="shared" si="16"/>
        <v>100</v>
      </c>
      <c r="F25" s="22">
        <f t="shared" si="16"/>
        <v>0</v>
      </c>
      <c r="I25">
        <v>12</v>
      </c>
      <c r="J25">
        <f>J21-9</f>
        <v>49</v>
      </c>
      <c r="K25">
        <f t="shared" si="14"/>
        <v>36</v>
      </c>
      <c r="L25">
        <v>100</v>
      </c>
    </row>
    <row r="26" spans="1:12" ht="17.25" thickBot="1" x14ac:dyDescent="0.3">
      <c r="A26" s="44"/>
      <c r="B26" s="26"/>
      <c r="C26" s="22">
        <f t="shared" ref="C26:F26" si="17">C14</f>
        <v>120</v>
      </c>
      <c r="D26" s="22">
        <f t="shared" si="17"/>
        <v>550</v>
      </c>
      <c r="E26" s="22">
        <f t="shared" si="17"/>
        <v>0</v>
      </c>
      <c r="F26" s="22">
        <f t="shared" si="17"/>
        <v>0</v>
      </c>
      <c r="I26">
        <v>13</v>
      </c>
      <c r="J26">
        <f>J21-9</f>
        <v>49</v>
      </c>
      <c r="K26">
        <f t="shared" si="14"/>
        <v>27</v>
      </c>
      <c r="L26">
        <v>100</v>
      </c>
    </row>
    <row r="27" spans="1:12" x14ac:dyDescent="0.25">
      <c r="A27" s="45" t="str">
        <f>A3</f>
        <v>Take Sample</v>
      </c>
      <c r="B27" s="34" t="str">
        <f>B3</f>
        <v>Cuvette Position</v>
      </c>
      <c r="C27" s="14">
        <f>C3</f>
        <v>58</v>
      </c>
      <c r="D27" s="14">
        <f t="shared" ref="D27:F27" si="18">D3</f>
        <v>257</v>
      </c>
      <c r="E27" s="14">
        <f t="shared" si="18"/>
        <v>0</v>
      </c>
      <c r="F27" s="14">
        <f t="shared" si="18"/>
        <v>0</v>
      </c>
      <c r="I27">
        <v>14</v>
      </c>
      <c r="J27">
        <f>J21-9</f>
        <v>49</v>
      </c>
      <c r="K27">
        <f t="shared" si="14"/>
        <v>18</v>
      </c>
      <c r="L27">
        <v>100</v>
      </c>
    </row>
    <row r="28" spans="1:12" x14ac:dyDescent="0.25">
      <c r="A28" s="46"/>
      <c r="B28" s="34"/>
      <c r="C28" s="14">
        <f t="shared" ref="C28:F28" si="19">C4</f>
        <v>58</v>
      </c>
      <c r="D28" s="14">
        <f t="shared" si="19"/>
        <v>257</v>
      </c>
      <c r="E28" s="14">
        <f t="shared" si="19"/>
        <v>100</v>
      </c>
      <c r="F28" s="14">
        <f t="shared" si="19"/>
        <v>0</v>
      </c>
      <c r="I28">
        <v>15</v>
      </c>
      <c r="J28">
        <f>J21-9</f>
        <v>49</v>
      </c>
      <c r="K28">
        <f t="shared" si="14"/>
        <v>9</v>
      </c>
      <c r="L28">
        <v>100</v>
      </c>
    </row>
    <row r="29" spans="1:12" ht="17.25" thickBot="1" x14ac:dyDescent="0.3">
      <c r="A29" s="46"/>
      <c r="B29" s="34"/>
      <c r="C29" s="14">
        <f t="shared" ref="C29:F29" si="20">C5</f>
        <v>58</v>
      </c>
      <c r="D29" s="14">
        <f t="shared" si="20"/>
        <v>257</v>
      </c>
      <c r="E29" s="14">
        <f t="shared" si="20"/>
        <v>0</v>
      </c>
      <c r="F29" s="14">
        <f t="shared" si="20"/>
        <v>0</v>
      </c>
      <c r="I29">
        <v>16</v>
      </c>
      <c r="J29">
        <f>J21-9</f>
        <v>49</v>
      </c>
      <c r="K29">
        <f t="shared" si="14"/>
        <v>0</v>
      </c>
      <c r="L29">
        <v>100</v>
      </c>
    </row>
    <row r="30" spans="1:12" x14ac:dyDescent="0.25">
      <c r="A30" s="46"/>
      <c r="B30" s="12" t="s">
        <v>10</v>
      </c>
      <c r="C30" s="9">
        <f>C31</f>
        <v>58</v>
      </c>
      <c r="D30" s="9">
        <f>D31</f>
        <v>9</v>
      </c>
      <c r="E30" s="9">
        <v>0</v>
      </c>
      <c r="F30" s="7">
        <v>0</v>
      </c>
      <c r="I30">
        <v>17</v>
      </c>
      <c r="J30">
        <f>J29-9</f>
        <v>40</v>
      </c>
      <c r="K30">
        <f>K29</f>
        <v>0</v>
      </c>
      <c r="L30">
        <v>100</v>
      </c>
    </row>
    <row r="31" spans="1:12" x14ac:dyDescent="0.25">
      <c r="A31" s="46"/>
      <c r="B31" s="3"/>
      <c r="C31" s="4">
        <f>J15</f>
        <v>58</v>
      </c>
      <c r="D31" s="4">
        <f t="shared" ref="D31:E31" si="21">K15</f>
        <v>9</v>
      </c>
      <c r="E31" s="4">
        <f t="shared" si="21"/>
        <v>100</v>
      </c>
      <c r="F31" s="5">
        <v>0</v>
      </c>
      <c r="I31">
        <v>18</v>
      </c>
      <c r="J31">
        <f>J29-9</f>
        <v>40</v>
      </c>
      <c r="K31">
        <f>K30+9</f>
        <v>9</v>
      </c>
      <c r="L31">
        <v>100</v>
      </c>
    </row>
    <row r="32" spans="1:12" ht="17.25" thickBot="1" x14ac:dyDescent="0.3">
      <c r="A32" s="47"/>
      <c r="B32" s="13"/>
      <c r="C32" s="4">
        <f>C31</f>
        <v>58</v>
      </c>
      <c r="D32" s="4">
        <f>D31</f>
        <v>9</v>
      </c>
      <c r="E32" s="4">
        <v>0</v>
      </c>
      <c r="F32" s="5">
        <v>0</v>
      </c>
      <c r="I32">
        <v>19</v>
      </c>
      <c r="J32">
        <f>J29-9</f>
        <v>40</v>
      </c>
      <c r="K32">
        <f>K31+9</f>
        <v>18</v>
      </c>
      <c r="L32">
        <v>100</v>
      </c>
    </row>
    <row r="33" spans="1:12" x14ac:dyDescent="0.25">
      <c r="A33" s="38"/>
      <c r="B33" s="15" t="str">
        <f>B9</f>
        <v>Water</v>
      </c>
      <c r="C33" s="35">
        <f t="shared" ref="C33" si="22">C9</f>
        <v>120</v>
      </c>
      <c r="D33" s="36">
        <f t="shared" ref="D33:F33" si="23">D9</f>
        <v>470</v>
      </c>
      <c r="E33" s="36">
        <f t="shared" si="23"/>
        <v>0</v>
      </c>
      <c r="F33" s="37">
        <f t="shared" si="23"/>
        <v>0</v>
      </c>
      <c r="I33">
        <v>20</v>
      </c>
      <c r="J33">
        <f>J29-9</f>
        <v>40</v>
      </c>
      <c r="K33">
        <f t="shared" ref="K33:K37" si="24">K32+9</f>
        <v>27</v>
      </c>
      <c r="L33">
        <v>100</v>
      </c>
    </row>
    <row r="34" spans="1:12" x14ac:dyDescent="0.25">
      <c r="A34" s="38"/>
      <c r="B34" s="15"/>
      <c r="C34" s="15">
        <f t="shared" ref="C34:F34" si="25">C10</f>
        <v>120</v>
      </c>
      <c r="D34" s="14">
        <f t="shared" si="25"/>
        <v>470</v>
      </c>
      <c r="E34" s="14">
        <f t="shared" si="25"/>
        <v>100</v>
      </c>
      <c r="F34" s="16">
        <f t="shared" si="25"/>
        <v>0</v>
      </c>
      <c r="I34">
        <v>21</v>
      </c>
      <c r="J34">
        <f>J29-9</f>
        <v>40</v>
      </c>
      <c r="K34">
        <f t="shared" si="24"/>
        <v>36</v>
      </c>
      <c r="L34">
        <v>100</v>
      </c>
    </row>
    <row r="35" spans="1:12" x14ac:dyDescent="0.25">
      <c r="A35" s="38"/>
      <c r="B35" s="15"/>
      <c r="C35" s="15">
        <f t="shared" ref="C35:F35" si="26">C11</f>
        <v>120</v>
      </c>
      <c r="D35" s="14">
        <f t="shared" si="26"/>
        <v>470</v>
      </c>
      <c r="E35" s="14">
        <f t="shared" si="26"/>
        <v>0</v>
      </c>
      <c r="F35" s="16">
        <f t="shared" si="26"/>
        <v>0</v>
      </c>
      <c r="I35">
        <v>22</v>
      </c>
      <c r="J35">
        <f>J29-9</f>
        <v>40</v>
      </c>
      <c r="K35">
        <f t="shared" si="24"/>
        <v>45</v>
      </c>
      <c r="L35">
        <v>100</v>
      </c>
    </row>
    <row r="36" spans="1:12" x14ac:dyDescent="0.25">
      <c r="A36" s="38"/>
      <c r="B36" s="21" t="str">
        <f t="shared" ref="B36:C42" si="27">B12</f>
        <v>Waste Tank</v>
      </c>
      <c r="C36" s="21">
        <f t="shared" si="27"/>
        <v>120</v>
      </c>
      <c r="D36" s="22">
        <f t="shared" ref="D36:F36" si="28">D12</f>
        <v>550</v>
      </c>
      <c r="E36" s="22">
        <f t="shared" si="28"/>
        <v>0</v>
      </c>
      <c r="F36" s="23">
        <f t="shared" si="28"/>
        <v>0</v>
      </c>
      <c r="I36">
        <v>23</v>
      </c>
      <c r="J36">
        <f>J29-9</f>
        <v>40</v>
      </c>
      <c r="K36">
        <f t="shared" si="24"/>
        <v>54</v>
      </c>
      <c r="L36">
        <v>100</v>
      </c>
    </row>
    <row r="37" spans="1:12" x14ac:dyDescent="0.25">
      <c r="A37" s="38"/>
      <c r="B37" s="21"/>
      <c r="C37" s="21">
        <f t="shared" ref="C37:F37" si="29">C13</f>
        <v>120</v>
      </c>
      <c r="D37" s="22">
        <f t="shared" si="29"/>
        <v>550</v>
      </c>
      <c r="E37" s="22">
        <f t="shared" si="29"/>
        <v>100</v>
      </c>
      <c r="F37" s="23">
        <f t="shared" si="29"/>
        <v>0</v>
      </c>
      <c r="I37">
        <v>24</v>
      </c>
      <c r="J37">
        <f>J29-9</f>
        <v>40</v>
      </c>
      <c r="K37">
        <f t="shared" si="24"/>
        <v>63</v>
      </c>
      <c r="L37">
        <v>100</v>
      </c>
    </row>
    <row r="38" spans="1:12" x14ac:dyDescent="0.25">
      <c r="A38" s="38"/>
      <c r="B38" s="21"/>
      <c r="C38" s="21">
        <f t="shared" ref="C38:F38" si="30">C14</f>
        <v>120</v>
      </c>
      <c r="D38" s="22">
        <f t="shared" si="30"/>
        <v>550</v>
      </c>
      <c r="E38" s="22">
        <f t="shared" si="30"/>
        <v>0</v>
      </c>
      <c r="F38" s="23">
        <f t="shared" si="30"/>
        <v>0</v>
      </c>
      <c r="J38">
        <f>J37-9</f>
        <v>31</v>
      </c>
    </row>
    <row r="39" spans="1:12" x14ac:dyDescent="0.25">
      <c r="A39" s="38"/>
      <c r="B39" s="15" t="str">
        <f t="shared" si="27"/>
        <v>Water</v>
      </c>
      <c r="C39" s="15">
        <f t="shared" si="27"/>
        <v>120</v>
      </c>
      <c r="D39" s="14">
        <f t="shared" ref="D39:F39" si="31">D15</f>
        <v>470</v>
      </c>
      <c r="E39" s="14">
        <f t="shared" si="31"/>
        <v>0</v>
      </c>
      <c r="F39" s="16">
        <f t="shared" si="31"/>
        <v>0</v>
      </c>
      <c r="J39">
        <f>J37-9</f>
        <v>31</v>
      </c>
    </row>
    <row r="40" spans="1:12" x14ac:dyDescent="0.25">
      <c r="A40" s="38"/>
      <c r="B40" s="15"/>
      <c r="C40" s="15">
        <f t="shared" ref="C40:F40" si="32">C16</f>
        <v>120</v>
      </c>
      <c r="D40" s="14">
        <f t="shared" si="32"/>
        <v>470</v>
      </c>
      <c r="E40" s="14">
        <f t="shared" si="32"/>
        <v>100</v>
      </c>
      <c r="F40" s="16">
        <f t="shared" si="32"/>
        <v>0</v>
      </c>
      <c r="J40">
        <f>J37-9</f>
        <v>31</v>
      </c>
    </row>
    <row r="41" spans="1:12" x14ac:dyDescent="0.25">
      <c r="A41" s="38"/>
      <c r="B41" s="15"/>
      <c r="C41" s="15">
        <f t="shared" ref="C41:F41" si="33">C17</f>
        <v>120</v>
      </c>
      <c r="D41" s="14">
        <f t="shared" si="33"/>
        <v>470</v>
      </c>
      <c r="E41" s="14">
        <f t="shared" si="33"/>
        <v>0</v>
      </c>
      <c r="F41" s="16">
        <f t="shared" si="33"/>
        <v>0</v>
      </c>
      <c r="J41">
        <f>J37-9</f>
        <v>31</v>
      </c>
    </row>
    <row r="42" spans="1:12" x14ac:dyDescent="0.25">
      <c r="A42" s="38"/>
      <c r="B42" s="21" t="str">
        <f t="shared" si="27"/>
        <v>Waste Tank</v>
      </c>
      <c r="C42" s="21">
        <f t="shared" si="27"/>
        <v>120</v>
      </c>
      <c r="D42" s="22">
        <f t="shared" ref="D42:F42" si="34">D18</f>
        <v>550</v>
      </c>
      <c r="E42" s="22">
        <f t="shared" si="34"/>
        <v>0</v>
      </c>
      <c r="F42" s="23">
        <f t="shared" si="34"/>
        <v>0</v>
      </c>
      <c r="J42">
        <f>J37-9</f>
        <v>31</v>
      </c>
    </row>
    <row r="43" spans="1:12" x14ac:dyDescent="0.25">
      <c r="A43" s="38"/>
      <c r="B43" s="21"/>
      <c r="C43" s="21">
        <f t="shared" ref="C43:F43" si="35">C19</f>
        <v>120</v>
      </c>
      <c r="D43" s="22">
        <f t="shared" si="35"/>
        <v>550</v>
      </c>
      <c r="E43" s="22">
        <f t="shared" si="35"/>
        <v>100</v>
      </c>
      <c r="F43" s="23">
        <f t="shared" si="35"/>
        <v>0</v>
      </c>
      <c r="J43">
        <f>J37-9</f>
        <v>31</v>
      </c>
    </row>
    <row r="44" spans="1:12" ht="17.25" thickBot="1" x14ac:dyDescent="0.3">
      <c r="A44" s="38"/>
      <c r="B44" s="21"/>
      <c r="C44" s="30">
        <f t="shared" ref="C44:F44" si="36">C20</f>
        <v>120</v>
      </c>
      <c r="D44" s="24">
        <f t="shared" si="36"/>
        <v>550</v>
      </c>
      <c r="E44" s="24">
        <f t="shared" si="36"/>
        <v>0</v>
      </c>
      <c r="F44" s="31">
        <f t="shared" si="36"/>
        <v>0</v>
      </c>
      <c r="J44">
        <f>J37-9</f>
        <v>31</v>
      </c>
    </row>
  </sheetData>
  <mergeCells count="3">
    <mergeCell ref="A3:A8"/>
    <mergeCell ref="A9:A26"/>
    <mergeCell ref="A27:A32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2020-07-05T23:38:56Z</dcterms:created>
  <dcterms:modified xsi:type="dcterms:W3CDTF">2020-09-02T02:18:12Z</dcterms:modified>
</cp:coreProperties>
</file>