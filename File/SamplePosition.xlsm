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ampler\AutoSampler _GB\"/>
    </mc:Choice>
  </mc:AlternateContent>
  <xr:revisionPtr revIDLastSave="0" documentId="13_ncr:1_{59E7CF7C-5EA0-4315-9337-F723E92B0FB0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" l="1"/>
  <c r="I16" i="1"/>
  <c r="I17" i="1"/>
  <c r="I18" i="1"/>
  <c r="I19" i="1"/>
  <c r="I20" i="1"/>
  <c r="I21" i="1"/>
  <c r="I23" i="1" s="1"/>
  <c r="I22" i="1" l="1"/>
  <c r="I26" i="1"/>
  <c r="I25" i="1"/>
  <c r="I24" i="1"/>
  <c r="E33" i="1" l="1"/>
  <c r="F33" i="1"/>
  <c r="F34" i="1"/>
  <c r="E35" i="1"/>
  <c r="E36" i="1"/>
  <c r="F36" i="1"/>
  <c r="F37" i="1"/>
  <c r="E38" i="1"/>
  <c r="F38" i="1"/>
  <c r="B36" i="1"/>
  <c r="B33" i="1"/>
  <c r="A27" i="1"/>
  <c r="B27" i="1"/>
  <c r="F28" i="1"/>
  <c r="E29" i="1"/>
  <c r="E27" i="1"/>
  <c r="F27" i="1"/>
  <c r="F22" i="1" l="1"/>
  <c r="F46" i="1" s="1"/>
  <c r="E23" i="1"/>
  <c r="E47" i="1" s="1"/>
  <c r="E24" i="1"/>
  <c r="E48" i="1" s="1"/>
  <c r="F24" i="1"/>
  <c r="F48" i="1" s="1"/>
  <c r="F25" i="1"/>
  <c r="F49" i="1" s="1"/>
  <c r="E26" i="1"/>
  <c r="E50" i="1" s="1"/>
  <c r="F26" i="1"/>
  <c r="F50" i="1" s="1"/>
  <c r="E21" i="1"/>
  <c r="E45" i="1" s="1"/>
  <c r="F21" i="1"/>
  <c r="F45" i="1" s="1"/>
  <c r="F19" i="1"/>
  <c r="F43" i="1" s="1"/>
  <c r="E20" i="1"/>
  <c r="E44" i="1" s="1"/>
  <c r="F20" i="1"/>
  <c r="F44" i="1" s="1"/>
  <c r="E18" i="1"/>
  <c r="E42" i="1" s="1"/>
  <c r="F18" i="1"/>
  <c r="F42" i="1" s="1"/>
  <c r="B18" i="1"/>
  <c r="B15" i="1"/>
  <c r="F16" i="1"/>
  <c r="F40" i="1" s="1"/>
  <c r="E17" i="1"/>
  <c r="E41" i="1" s="1"/>
  <c r="E15" i="1"/>
  <c r="E39" i="1" s="1"/>
  <c r="F15" i="1"/>
  <c r="F39" i="1" s="1"/>
  <c r="D13" i="1"/>
  <c r="E13" i="1"/>
  <c r="C13" i="1"/>
  <c r="D10" i="1"/>
  <c r="E10" i="1"/>
  <c r="C10" i="1"/>
  <c r="F11" i="1"/>
  <c r="D4" i="1"/>
  <c r="D5" i="1" s="1"/>
  <c r="D29" i="1" s="1"/>
  <c r="E4" i="1"/>
  <c r="E28" i="1" s="1"/>
  <c r="C4" i="1"/>
  <c r="F5" i="1"/>
  <c r="F29" i="1" s="1"/>
  <c r="D11" i="1" l="1"/>
  <c r="D23" i="1" s="1"/>
  <c r="D47" i="1" s="1"/>
  <c r="D34" i="1"/>
  <c r="E19" i="1"/>
  <c r="E43" i="1" s="1"/>
  <c r="E37" i="1"/>
  <c r="B24" i="1"/>
  <c r="B48" i="1" s="1"/>
  <c r="B42" i="1"/>
  <c r="C14" i="1"/>
  <c r="C20" i="1" s="1"/>
  <c r="C44" i="1" s="1"/>
  <c r="C37" i="1"/>
  <c r="B21" i="1"/>
  <c r="B45" i="1" s="1"/>
  <c r="B39" i="1"/>
  <c r="D12" i="1"/>
  <c r="D37" i="1"/>
  <c r="F23" i="1"/>
  <c r="F47" i="1" s="1"/>
  <c r="F35" i="1"/>
  <c r="C11" i="1"/>
  <c r="C17" i="1" s="1"/>
  <c r="C41" i="1" s="1"/>
  <c r="C34" i="1"/>
  <c r="E22" i="1"/>
  <c r="E46" i="1" s="1"/>
  <c r="E34" i="1"/>
  <c r="F17" i="1"/>
  <c r="F41" i="1" s="1"/>
  <c r="C25" i="1"/>
  <c r="C49" i="1" s="1"/>
  <c r="C5" i="1"/>
  <c r="C29" i="1" s="1"/>
  <c r="C28" i="1"/>
  <c r="E16" i="1"/>
  <c r="E40" i="1" s="1"/>
  <c r="D3" i="1"/>
  <c r="D27" i="1" s="1"/>
  <c r="D28" i="1"/>
  <c r="D25" i="1"/>
  <c r="D49" i="1" s="1"/>
  <c r="C19" i="1"/>
  <c r="C43" i="1" s="1"/>
  <c r="D19" i="1"/>
  <c r="D43" i="1" s="1"/>
  <c r="D16" i="1"/>
  <c r="D40" i="1" s="1"/>
  <c r="C16" i="1"/>
  <c r="C40" i="1" s="1"/>
  <c r="D22" i="1"/>
  <c r="D46" i="1" s="1"/>
  <c r="C22" i="1"/>
  <c r="C46" i="1" s="1"/>
  <c r="E25" i="1"/>
  <c r="E49" i="1" s="1"/>
  <c r="D14" i="1"/>
  <c r="D38" i="1" s="1"/>
  <c r="C12" i="1"/>
  <c r="C36" i="1" s="1"/>
  <c r="D9" i="1"/>
  <c r="D33" i="1" s="1"/>
  <c r="C9" i="1"/>
  <c r="C33" i="1" s="1"/>
  <c r="C3" i="1"/>
  <c r="C27" i="1" s="1"/>
  <c r="D17" i="1" l="1"/>
  <c r="D41" i="1" s="1"/>
  <c r="D35" i="1"/>
  <c r="C23" i="1"/>
  <c r="C47" i="1" s="1"/>
  <c r="C35" i="1"/>
  <c r="C26" i="1"/>
  <c r="C50" i="1" s="1"/>
  <c r="C38" i="1"/>
  <c r="D18" i="1"/>
  <c r="D42" i="1" s="1"/>
  <c r="D36" i="1"/>
  <c r="D24" i="1"/>
  <c r="D48" i="1" s="1"/>
  <c r="I27" i="1"/>
  <c r="C15" i="1"/>
  <c r="C39" i="1" s="1"/>
  <c r="C21" i="1"/>
  <c r="C45" i="1" s="1"/>
  <c r="D26" i="1"/>
  <c r="D50" i="1" s="1"/>
  <c r="D20" i="1"/>
  <c r="D44" i="1" s="1"/>
  <c r="C18" i="1"/>
  <c r="C42" i="1" s="1"/>
  <c r="C24" i="1"/>
  <c r="C48" i="1" s="1"/>
  <c r="D15" i="1"/>
  <c r="D39" i="1" s="1"/>
  <c r="D21" i="1"/>
  <c r="D45" i="1" s="1"/>
  <c r="I28" i="1"/>
  <c r="I29" i="1"/>
  <c r="J15" i="1"/>
  <c r="E31" i="1"/>
  <c r="C31" i="1"/>
  <c r="C32" i="1" s="1"/>
  <c r="E7" i="1"/>
  <c r="D7" i="1"/>
  <c r="C7" i="1"/>
  <c r="I37" i="1" l="1"/>
  <c r="I31" i="1"/>
  <c r="I34" i="1"/>
  <c r="I35" i="1"/>
  <c r="I30" i="1"/>
  <c r="I36" i="1"/>
  <c r="I33" i="1"/>
  <c r="I32" i="1"/>
  <c r="D31" i="1"/>
  <c r="D32" i="1" s="1"/>
  <c r="J16" i="1"/>
  <c r="C30" i="1"/>
  <c r="D8" i="1"/>
  <c r="C8" i="1"/>
  <c r="D30" i="1" l="1"/>
  <c r="J17" i="1"/>
  <c r="C6" i="1"/>
  <c r="D6" i="1"/>
  <c r="J18" i="1" l="1"/>
  <c r="J19" i="1" l="1"/>
  <c r="J20" i="1" l="1"/>
  <c r="J21" i="1" l="1"/>
  <c r="J22" i="1" l="1"/>
  <c r="J23" i="1" l="1"/>
  <c r="J24" i="1" l="1"/>
  <c r="J25" i="1" l="1"/>
  <c r="J26" i="1" l="1"/>
  <c r="J27" i="1" l="1"/>
  <c r="J28" i="1" l="1"/>
  <c r="J29" i="1" l="1"/>
  <c r="J30" i="1" l="1"/>
  <c r="J31" i="1" l="1"/>
  <c r="J32" i="1" l="1"/>
  <c r="J33" i="1" l="1"/>
  <c r="J34" i="1" l="1"/>
  <c r="J35" i="1" l="1"/>
  <c r="J36" i="1" l="1"/>
  <c r="J37" i="1" l="1"/>
</calcChain>
</file>

<file path=xl/sharedStrings.xml><?xml version="1.0" encoding="utf-8"?>
<sst xmlns="http://schemas.openxmlformats.org/spreadsheetml/2006/main" count="19" uniqueCount="19">
  <si>
    <t>X</t>
    <phoneticPr fontId="1" type="noConversion"/>
  </si>
  <si>
    <t>Y</t>
    <phoneticPr fontId="1" type="noConversion"/>
  </si>
  <si>
    <t>Z</t>
    <phoneticPr fontId="1" type="noConversion"/>
  </si>
  <si>
    <t>Sample Position:</t>
    <phoneticPr fontId="1" type="noConversion"/>
  </si>
  <si>
    <t>Take Sample</t>
    <phoneticPr fontId="1" type="noConversion"/>
  </si>
  <si>
    <t>Volume (ul)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</si>
  <si>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</si>
  <si>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</si>
  <si>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</si>
  <si>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Sample 1</t>
    <phoneticPr fontId="1" type="noConversion"/>
  </si>
  <si>
    <t>Sample 2</t>
    <phoneticPr fontId="1" type="noConversion"/>
  </si>
  <si>
    <t>Ctl+Shift+S</t>
    <phoneticPr fontId="1" type="noConversion"/>
  </si>
  <si>
    <t>Cuvette Position</t>
    <phoneticPr fontId="1" type="noConversion"/>
  </si>
  <si>
    <t>Cuvette Position:</t>
    <phoneticPr fontId="1" type="noConversion"/>
  </si>
  <si>
    <t>Water Position:</t>
    <phoneticPr fontId="1" type="noConversion"/>
  </si>
  <si>
    <t>Waste Tank Position:</t>
    <phoneticPr fontId="1" type="noConversion"/>
  </si>
  <si>
    <t>Washing</t>
    <phoneticPr fontId="1" type="noConversion"/>
  </si>
  <si>
    <t>Water</t>
    <phoneticPr fontId="1" type="noConversion"/>
  </si>
  <si>
    <t>Waste Tank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</si>
</sst>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  <font>
      <sz val="12"/>
      <color rgb="FFFFC000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3" borderId="9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0" fillId="3" borderId="10" xfId="0" applyFill="1" applyBorder="1" applyAlignment="1">
      <alignment horizontal="center" vertical="center"/>
    </xf>
    <xf numFmtId="0" fontId="2" fillId="4" borderId="12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0" fillId="3" borderId="13" xfId="0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2" fillId="6" borderId="11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7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11" xfId="0" applyFont="1" applyFill="1" applyBorder="1">
      <alignment vertical="center"/>
    </xf>
    <xf numFmtId="0" fontId="2" fillId="5" borderId="12" xfId="0" applyFont="1" applyFill="1" applyBorder="1">
      <alignment vertical="center"/>
    </xf>
    <xf numFmtId="0" fontId="2" fillId="7" borderId="5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2" fillId="4" borderId="8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6" borderId="14" xfId="0" applyFont="1" applyFill="1" applyBorder="1">
      <alignment vertical="center"/>
    </xf>
    <xf numFmtId="0" fontId="2" fillId="4" borderId="14" xfId="0" applyFont="1" applyFill="1" applyBorder="1">
      <alignment vertical="center"/>
    </xf>
    <xf numFmtId="0" fontId="2" fillId="5" borderId="14" xfId="0" applyFont="1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50"/>
  <sheetViews>
    <sheetView tabSelected="1" topLeftCell="A4" workbookViewId="0">
      <selection activeCell="J38" sqref="J38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8" max="8" width="24.875" customWidth="1"/>
    <col min="9" max="9" width="7.625" customWidth="1"/>
    <col min="10" max="10" width="8.375" customWidth="1"/>
    <col min="11" max="11" width="8.25" customWidth="1"/>
  </cols>
  <sheetData>
    <row r="1" spans="1:11" ht="17.25" thickBot="1" x14ac:dyDescent="0.3">
      <c r="B1" t="s">
        <v>11</v>
      </c>
    </row>
    <row r="2" spans="1:11" ht="26.65" customHeight="1" thickBot="1" x14ac:dyDescent="0.3">
      <c r="B2" s="2"/>
      <c r="C2" s="6" t="s">
        <v>0</v>
      </c>
      <c r="D2" s="6" t="s">
        <v>1</v>
      </c>
      <c r="E2" s="6" t="s">
        <v>2</v>
      </c>
      <c r="F2" s="9" t="s">
        <v>5</v>
      </c>
      <c r="I2" t="s">
        <v>6</v>
      </c>
      <c r="J2" t="s">
        <v>7</v>
      </c>
      <c r="K2" t="s">
        <v>8</v>
      </c>
    </row>
    <row r="3" spans="1:11" x14ac:dyDescent="0.25">
      <c r="A3" s="43" t="s">
        <v>4</v>
      </c>
      <c r="B3" s="13" t="s">
        <v>12</v>
      </c>
      <c r="C3" s="13">
        <f>C4</f>
        <v>50</v>
      </c>
      <c r="D3" s="13">
        <f>D4</f>
        <v>280</v>
      </c>
      <c r="E3" s="13">
        <v>0</v>
      </c>
      <c r="F3" s="14">
        <v>0</v>
      </c>
      <c r="H3" t="s">
        <v>13</v>
      </c>
      <c r="I3">
        <v>50</v>
      </c>
      <c r="J3">
        <v>280</v>
      </c>
      <c r="K3">
        <v>50</v>
      </c>
    </row>
    <row r="4" spans="1:11" x14ac:dyDescent="0.25">
      <c r="A4" s="44"/>
      <c r="B4" s="13"/>
      <c r="C4" s="13">
        <f>I3</f>
        <v>50</v>
      </c>
      <c r="D4" s="13">
        <f t="shared" ref="D4:E4" si="0">J3</f>
        <v>280</v>
      </c>
      <c r="E4" s="13">
        <f t="shared" si="0"/>
        <v>50</v>
      </c>
      <c r="F4" s="14">
        <v>0</v>
      </c>
      <c r="H4" t="s">
        <v>14</v>
      </c>
      <c r="I4">
        <v>120</v>
      </c>
      <c r="J4">
        <v>470</v>
      </c>
      <c r="K4">
        <v>0</v>
      </c>
    </row>
    <row r="5" spans="1:11" x14ac:dyDescent="0.25">
      <c r="A5" s="44"/>
      <c r="B5" s="13"/>
      <c r="C5" s="13">
        <f>C4</f>
        <v>50</v>
      </c>
      <c r="D5" s="12">
        <f>D4</f>
        <v>280</v>
      </c>
      <c r="E5" s="12">
        <v>0</v>
      </c>
      <c r="F5" s="14">
        <f>F4</f>
        <v>0</v>
      </c>
      <c r="H5" t="s">
        <v>15</v>
      </c>
      <c r="I5">
        <v>120</v>
      </c>
      <c r="J5">
        <v>550</v>
      </c>
      <c r="K5">
        <v>0</v>
      </c>
    </row>
    <row r="6" spans="1:11" x14ac:dyDescent="0.25">
      <c r="A6" s="44"/>
      <c r="B6" s="3" t="s">
        <v>9</v>
      </c>
      <c r="C6" s="4">
        <f>C7</f>
        <v>104</v>
      </c>
      <c r="D6" s="4">
        <f>D7</f>
        <v>49</v>
      </c>
      <c r="E6" s="4">
        <v>0</v>
      </c>
      <c r="F6" s="5">
        <v>0</v>
      </c>
    </row>
    <row r="7" spans="1:11" x14ac:dyDescent="0.25">
      <c r="A7" s="44"/>
      <c r="B7" s="3"/>
      <c r="C7" s="4">
        <f>I14</f>
        <v>104</v>
      </c>
      <c r="D7" s="4">
        <f>J14</f>
        <v>49</v>
      </c>
      <c r="E7" s="4">
        <f>K14</f>
        <v>100</v>
      </c>
      <c r="F7" s="5">
        <v>0</v>
      </c>
    </row>
    <row r="8" spans="1:11" ht="17.25" thickBot="1" x14ac:dyDescent="0.3">
      <c r="A8" s="45"/>
      <c r="B8" s="11"/>
      <c r="C8" s="8">
        <f>C7</f>
        <v>104</v>
      </c>
      <c r="D8" s="8">
        <f>D7</f>
        <v>49</v>
      </c>
      <c r="E8" s="8">
        <v>0</v>
      </c>
      <c r="F8" s="38">
        <v>0</v>
      </c>
    </row>
    <row r="9" spans="1:11" x14ac:dyDescent="0.25">
      <c r="A9" s="46" t="s">
        <v>16</v>
      </c>
      <c r="B9" s="13" t="s">
        <v>17</v>
      </c>
      <c r="C9" s="13">
        <f>C10</f>
        <v>120</v>
      </c>
      <c r="D9" s="12">
        <f>D10</f>
        <v>470</v>
      </c>
      <c r="E9" s="12">
        <v>0</v>
      </c>
      <c r="F9" s="14">
        <v>0</v>
      </c>
    </row>
    <row r="10" spans="1:11" x14ac:dyDescent="0.25">
      <c r="A10" s="47"/>
      <c r="B10" s="13"/>
      <c r="C10" s="13">
        <f>I4</f>
        <v>120</v>
      </c>
      <c r="D10" s="13">
        <f t="shared" ref="D10:E10" si="1">J4</f>
        <v>470</v>
      </c>
      <c r="E10" s="13">
        <f t="shared" si="1"/>
        <v>0</v>
      </c>
      <c r="F10" s="14">
        <v>0</v>
      </c>
    </row>
    <row r="11" spans="1:11" ht="17.25" thickBot="1" x14ac:dyDescent="0.3">
      <c r="A11" s="47"/>
      <c r="B11" s="16"/>
      <c r="C11" s="16">
        <f>C10</f>
        <v>120</v>
      </c>
      <c r="D11" s="15">
        <f>D10</f>
        <v>470</v>
      </c>
      <c r="E11" s="15">
        <v>0</v>
      </c>
      <c r="F11" s="39">
        <f>F10</f>
        <v>0</v>
      </c>
    </row>
    <row r="12" spans="1:11" x14ac:dyDescent="0.25">
      <c r="A12" s="47"/>
      <c r="B12" s="22" t="s">
        <v>18</v>
      </c>
      <c r="C12" s="25">
        <f>C13</f>
        <v>120</v>
      </c>
      <c r="D12" s="17">
        <f>D13</f>
        <v>550</v>
      </c>
      <c r="E12" s="17">
        <v>0</v>
      </c>
      <c r="F12" s="40">
        <v>0</v>
      </c>
    </row>
    <row r="13" spans="1:11" x14ac:dyDescent="0.25">
      <c r="A13" s="47"/>
      <c r="B13" s="23"/>
      <c r="C13" s="18">
        <f>I5</f>
        <v>120</v>
      </c>
      <c r="D13" s="19">
        <f t="shared" ref="D13:E13" si="2">J5</f>
        <v>550</v>
      </c>
      <c r="E13" s="19">
        <f t="shared" si="2"/>
        <v>0</v>
      </c>
      <c r="F13" s="20">
        <v>0</v>
      </c>
      <c r="H13" s="1" t="s">
        <v>3</v>
      </c>
    </row>
    <row r="14" spans="1:11" ht="17.25" thickBot="1" x14ac:dyDescent="0.3">
      <c r="A14" s="47"/>
      <c r="B14" s="24"/>
      <c r="C14" s="26">
        <f>C13</f>
        <v>120</v>
      </c>
      <c r="D14" s="21">
        <f>D13</f>
        <v>550</v>
      </c>
      <c r="E14" s="21">
        <v>0</v>
      </c>
      <c r="F14" s="27">
        <v>0</v>
      </c>
      <c r="H14">
        <v>1</v>
      </c>
      <c r="I14">
        <v>104</v>
      </c>
      <c r="J14">
        <v>49</v>
      </c>
      <c r="K14">
        <v>100</v>
      </c>
    </row>
    <row r="15" spans="1:11" x14ac:dyDescent="0.25">
      <c r="A15" s="47"/>
      <c r="B15" s="29" t="str">
        <f>B9</f>
        <v>Water</v>
      </c>
      <c r="C15" s="28">
        <f>C9</f>
        <v>120</v>
      </c>
      <c r="D15" s="28">
        <f t="shared" ref="D15:F15" si="3">D9</f>
        <v>470</v>
      </c>
      <c r="E15" s="28">
        <f t="shared" si="3"/>
        <v>0</v>
      </c>
      <c r="F15" s="33">
        <f t="shared" si="3"/>
        <v>0</v>
      </c>
      <c r="H15">
        <v>2</v>
      </c>
      <c r="I15">
        <f>$I$14</f>
        <v>104</v>
      </c>
      <c r="J15">
        <f>J14+9</f>
        <v>58</v>
      </c>
      <c r="K15">
        <v>100</v>
      </c>
    </row>
    <row r="16" spans="1:11" x14ac:dyDescent="0.25">
      <c r="A16" s="47"/>
      <c r="B16" s="29"/>
      <c r="C16" s="28">
        <f t="shared" ref="C16:F16" si="4">C10</f>
        <v>120</v>
      </c>
      <c r="D16" s="28">
        <f t="shared" si="4"/>
        <v>470</v>
      </c>
      <c r="E16" s="28">
        <f t="shared" si="4"/>
        <v>0</v>
      </c>
      <c r="F16" s="33">
        <f t="shared" si="4"/>
        <v>0</v>
      </c>
      <c r="H16">
        <v>3</v>
      </c>
      <c r="I16">
        <f t="shared" ref="I16:I21" si="5">$I$14</f>
        <v>104</v>
      </c>
      <c r="J16">
        <f t="shared" ref="J16:J21" si="6">J15+9</f>
        <v>67</v>
      </c>
      <c r="K16">
        <v>100</v>
      </c>
    </row>
    <row r="17" spans="1:11" x14ac:dyDescent="0.25">
      <c r="A17" s="47"/>
      <c r="B17" s="29"/>
      <c r="C17" s="28">
        <f t="shared" ref="C17:F17" si="7">C11</f>
        <v>120</v>
      </c>
      <c r="D17" s="28">
        <f t="shared" si="7"/>
        <v>470</v>
      </c>
      <c r="E17" s="28">
        <f t="shared" si="7"/>
        <v>0</v>
      </c>
      <c r="F17" s="33">
        <f t="shared" si="7"/>
        <v>0</v>
      </c>
      <c r="H17">
        <v>4</v>
      </c>
      <c r="I17">
        <f t="shared" si="5"/>
        <v>104</v>
      </c>
      <c r="J17">
        <f t="shared" si="6"/>
        <v>76</v>
      </c>
      <c r="K17">
        <v>100</v>
      </c>
    </row>
    <row r="18" spans="1:11" x14ac:dyDescent="0.25">
      <c r="A18" s="47"/>
      <c r="B18" s="23" t="str">
        <f>B12</f>
        <v>Waste Tank</v>
      </c>
      <c r="C18" s="19">
        <f>C12</f>
        <v>120</v>
      </c>
      <c r="D18" s="19">
        <f t="shared" ref="D18:F18" si="8">D12</f>
        <v>550</v>
      </c>
      <c r="E18" s="19">
        <f t="shared" si="8"/>
        <v>0</v>
      </c>
      <c r="F18" s="20">
        <f t="shared" si="8"/>
        <v>0</v>
      </c>
      <c r="H18">
        <v>5</v>
      </c>
      <c r="I18">
        <f t="shared" si="5"/>
        <v>104</v>
      </c>
      <c r="J18">
        <f t="shared" si="6"/>
        <v>85</v>
      </c>
      <c r="K18">
        <v>100</v>
      </c>
    </row>
    <row r="19" spans="1:11" x14ac:dyDescent="0.25">
      <c r="A19" s="47"/>
      <c r="B19" s="23"/>
      <c r="C19" s="19">
        <f t="shared" ref="C19:F19" si="9">C13</f>
        <v>120</v>
      </c>
      <c r="D19" s="19">
        <f t="shared" si="9"/>
        <v>550</v>
      </c>
      <c r="E19" s="19">
        <f t="shared" si="9"/>
        <v>0</v>
      </c>
      <c r="F19" s="20">
        <f t="shared" si="9"/>
        <v>0</v>
      </c>
      <c r="H19">
        <v>6</v>
      </c>
      <c r="I19">
        <f t="shared" si="5"/>
        <v>104</v>
      </c>
      <c r="J19">
        <f t="shared" si="6"/>
        <v>94</v>
      </c>
      <c r="K19">
        <v>100</v>
      </c>
    </row>
    <row r="20" spans="1:11" x14ac:dyDescent="0.25">
      <c r="A20" s="47"/>
      <c r="B20" s="23"/>
      <c r="C20" s="19">
        <f t="shared" ref="C20:F20" si="10">C14</f>
        <v>120</v>
      </c>
      <c r="D20" s="19">
        <f t="shared" si="10"/>
        <v>550</v>
      </c>
      <c r="E20" s="19">
        <f t="shared" si="10"/>
        <v>0</v>
      </c>
      <c r="F20" s="20">
        <f t="shared" si="10"/>
        <v>0</v>
      </c>
      <c r="H20">
        <v>7</v>
      </c>
      <c r="I20">
        <f t="shared" si="5"/>
        <v>104</v>
      </c>
      <c r="J20">
        <f t="shared" si="6"/>
        <v>103</v>
      </c>
      <c r="K20">
        <v>100</v>
      </c>
    </row>
    <row r="21" spans="1:11" x14ac:dyDescent="0.25">
      <c r="A21" s="47"/>
      <c r="B21" s="29" t="str">
        <f>B15</f>
        <v>Water</v>
      </c>
      <c r="C21" s="28">
        <f>C9</f>
        <v>120</v>
      </c>
      <c r="D21" s="28">
        <f t="shared" ref="D21:F21" si="11">D9</f>
        <v>470</v>
      </c>
      <c r="E21" s="28">
        <f t="shared" si="11"/>
        <v>0</v>
      </c>
      <c r="F21" s="33">
        <f t="shared" si="11"/>
        <v>0</v>
      </c>
      <c r="H21">
        <v>8</v>
      </c>
      <c r="I21">
        <f t="shared" si="5"/>
        <v>104</v>
      </c>
      <c r="J21">
        <f t="shared" si="6"/>
        <v>112</v>
      </c>
      <c r="K21">
        <v>100</v>
      </c>
    </row>
    <row r="22" spans="1:11" x14ac:dyDescent="0.25">
      <c r="A22" s="47"/>
      <c r="B22" s="29"/>
      <c r="C22" s="28">
        <f t="shared" ref="C22:F22" si="12">C10</f>
        <v>120</v>
      </c>
      <c r="D22" s="28">
        <f t="shared" si="12"/>
        <v>470</v>
      </c>
      <c r="E22" s="28">
        <f t="shared" si="12"/>
        <v>0</v>
      </c>
      <c r="F22" s="33">
        <f t="shared" si="12"/>
        <v>0</v>
      </c>
      <c r="H22">
        <v>9</v>
      </c>
      <c r="I22">
        <f>I21-9</f>
        <v>95</v>
      </c>
      <c r="J22">
        <f>J21</f>
        <v>112</v>
      </c>
      <c r="K22">
        <v>100</v>
      </c>
    </row>
    <row r="23" spans="1:11" x14ac:dyDescent="0.25">
      <c r="A23" s="47"/>
      <c r="B23" s="29"/>
      <c r="C23" s="28">
        <f t="shared" ref="C23:F23" si="13">C11</f>
        <v>120</v>
      </c>
      <c r="D23" s="28">
        <f t="shared" si="13"/>
        <v>470</v>
      </c>
      <c r="E23" s="28">
        <f t="shared" si="13"/>
        <v>0</v>
      </c>
      <c r="F23" s="33">
        <f t="shared" si="13"/>
        <v>0</v>
      </c>
      <c r="H23">
        <v>10</v>
      </c>
      <c r="I23">
        <f>I21-9</f>
        <v>95</v>
      </c>
      <c r="J23">
        <f t="shared" ref="J23:J29" si="14">J22-9</f>
        <v>103</v>
      </c>
      <c r="K23">
        <v>100</v>
      </c>
    </row>
    <row r="24" spans="1:11" x14ac:dyDescent="0.25">
      <c r="A24" s="47"/>
      <c r="B24" s="23" t="str">
        <f>B18</f>
        <v>Waste Tank</v>
      </c>
      <c r="C24" s="19">
        <f t="shared" ref="C24:F24" si="15">C12</f>
        <v>120</v>
      </c>
      <c r="D24" s="19">
        <f t="shared" si="15"/>
        <v>550</v>
      </c>
      <c r="E24" s="19">
        <f t="shared" si="15"/>
        <v>0</v>
      </c>
      <c r="F24" s="20">
        <f t="shared" si="15"/>
        <v>0</v>
      </c>
      <c r="H24">
        <v>11</v>
      </c>
      <c r="I24">
        <f>I21-9</f>
        <v>95</v>
      </c>
      <c r="J24">
        <f t="shared" si="14"/>
        <v>94</v>
      </c>
      <c r="K24">
        <v>100</v>
      </c>
    </row>
    <row r="25" spans="1:11" x14ac:dyDescent="0.25">
      <c r="A25" s="47"/>
      <c r="B25" s="23"/>
      <c r="C25" s="19">
        <f t="shared" ref="C25:F25" si="16">C13</f>
        <v>120</v>
      </c>
      <c r="D25" s="19">
        <f t="shared" si="16"/>
        <v>550</v>
      </c>
      <c r="E25" s="19">
        <f t="shared" si="16"/>
        <v>0</v>
      </c>
      <c r="F25" s="20">
        <f t="shared" si="16"/>
        <v>0</v>
      </c>
      <c r="H25">
        <v>12</v>
      </c>
      <c r="I25">
        <f>I21-9</f>
        <v>95</v>
      </c>
      <c r="J25">
        <f t="shared" si="14"/>
        <v>85</v>
      </c>
      <c r="K25">
        <v>100</v>
      </c>
    </row>
    <row r="26" spans="1:11" ht="17.25" thickBot="1" x14ac:dyDescent="0.3">
      <c r="A26" s="48"/>
      <c r="B26" s="23"/>
      <c r="C26" s="19">
        <f t="shared" ref="C26:F26" si="17">C14</f>
        <v>120</v>
      </c>
      <c r="D26" s="19">
        <f t="shared" si="17"/>
        <v>550</v>
      </c>
      <c r="E26" s="19">
        <f t="shared" si="17"/>
        <v>0</v>
      </c>
      <c r="F26" s="20">
        <f t="shared" si="17"/>
        <v>0</v>
      </c>
      <c r="H26">
        <v>13</v>
      </c>
      <c r="I26">
        <f>I21-9</f>
        <v>95</v>
      </c>
      <c r="J26">
        <f t="shared" si="14"/>
        <v>76</v>
      </c>
      <c r="K26">
        <v>100</v>
      </c>
    </row>
    <row r="27" spans="1:11" x14ac:dyDescent="0.25">
      <c r="A27" s="49" t="str">
        <f>A3</f>
        <v>Take Sample</v>
      </c>
      <c r="B27" s="30" t="str">
        <f>B3</f>
        <v>Cuvette Position</v>
      </c>
      <c r="C27" s="12">
        <f>C3</f>
        <v>50</v>
      </c>
      <c r="D27" s="12">
        <f t="shared" ref="D27:F27" si="18">D3</f>
        <v>280</v>
      </c>
      <c r="E27" s="12">
        <f t="shared" si="18"/>
        <v>0</v>
      </c>
      <c r="F27" s="14">
        <f t="shared" si="18"/>
        <v>0</v>
      </c>
      <c r="H27">
        <v>14</v>
      </c>
      <c r="I27">
        <f>I21-9</f>
        <v>95</v>
      </c>
      <c r="J27">
        <f t="shared" si="14"/>
        <v>67</v>
      </c>
      <c r="K27">
        <v>100</v>
      </c>
    </row>
    <row r="28" spans="1:11" x14ac:dyDescent="0.25">
      <c r="A28" s="50"/>
      <c r="B28" s="30"/>
      <c r="C28" s="12">
        <f t="shared" ref="C28:F28" si="19">C4</f>
        <v>50</v>
      </c>
      <c r="D28" s="12">
        <f t="shared" si="19"/>
        <v>280</v>
      </c>
      <c r="E28" s="12">
        <f t="shared" si="19"/>
        <v>50</v>
      </c>
      <c r="F28" s="14">
        <f t="shared" si="19"/>
        <v>0</v>
      </c>
      <c r="H28">
        <v>15</v>
      </c>
      <c r="I28">
        <f>I21-9</f>
        <v>95</v>
      </c>
      <c r="J28">
        <f t="shared" si="14"/>
        <v>58</v>
      </c>
      <c r="K28">
        <v>100</v>
      </c>
    </row>
    <row r="29" spans="1:11" ht="17.25" thickBot="1" x14ac:dyDescent="0.3">
      <c r="A29" s="50"/>
      <c r="B29" s="30"/>
      <c r="C29" s="12">
        <f t="shared" ref="C29:F29" si="20">C5</f>
        <v>50</v>
      </c>
      <c r="D29" s="12">
        <f t="shared" si="20"/>
        <v>280</v>
      </c>
      <c r="E29" s="12">
        <f t="shared" si="20"/>
        <v>0</v>
      </c>
      <c r="F29" s="14">
        <f t="shared" si="20"/>
        <v>0</v>
      </c>
      <c r="H29">
        <v>16</v>
      </c>
      <c r="I29">
        <f>I21-9</f>
        <v>95</v>
      </c>
      <c r="J29">
        <f t="shared" si="14"/>
        <v>49</v>
      </c>
      <c r="K29">
        <v>100</v>
      </c>
    </row>
    <row r="30" spans="1:11" x14ac:dyDescent="0.25">
      <c r="A30" s="50"/>
      <c r="B30" s="10" t="s">
        <v>10</v>
      </c>
      <c r="C30" s="7">
        <f>C31</f>
        <v>104</v>
      </c>
      <c r="D30" s="7">
        <f>D31</f>
        <v>58</v>
      </c>
      <c r="E30" s="7">
        <v>0</v>
      </c>
      <c r="F30" s="41">
        <v>0</v>
      </c>
      <c r="H30">
        <v>17</v>
      </c>
      <c r="I30">
        <f>I29-9</f>
        <v>86</v>
      </c>
      <c r="J30">
        <f>J29</f>
        <v>49</v>
      </c>
      <c r="K30">
        <v>100</v>
      </c>
    </row>
    <row r="31" spans="1:11" x14ac:dyDescent="0.25">
      <c r="A31" s="50"/>
      <c r="B31" s="3"/>
      <c r="C31" s="4">
        <f>I15</f>
        <v>104</v>
      </c>
      <c r="D31" s="4">
        <f t="shared" ref="D31:E31" si="21">J15</f>
        <v>58</v>
      </c>
      <c r="E31" s="4">
        <f t="shared" si="21"/>
        <v>100</v>
      </c>
      <c r="F31" s="5">
        <v>0</v>
      </c>
      <c r="H31">
        <v>18</v>
      </c>
      <c r="I31">
        <f>I29-9</f>
        <v>86</v>
      </c>
      <c r="J31">
        <f>J30+9</f>
        <v>58</v>
      </c>
      <c r="K31">
        <v>100</v>
      </c>
    </row>
    <row r="32" spans="1:11" ht="17.25" thickBot="1" x14ac:dyDescent="0.3">
      <c r="A32" s="51"/>
      <c r="B32" s="11"/>
      <c r="C32" s="4">
        <f>C31</f>
        <v>104</v>
      </c>
      <c r="D32" s="4">
        <f>D31</f>
        <v>58</v>
      </c>
      <c r="E32" s="4">
        <v>0</v>
      </c>
      <c r="F32" s="5">
        <v>0</v>
      </c>
      <c r="H32">
        <v>19</v>
      </c>
      <c r="I32">
        <f>I29-9</f>
        <v>86</v>
      </c>
      <c r="J32">
        <f>J31+9</f>
        <v>67</v>
      </c>
      <c r="K32">
        <v>100</v>
      </c>
    </row>
    <row r="33" spans="1:11" x14ac:dyDescent="0.25">
      <c r="A33" s="34"/>
      <c r="B33" s="13" t="str">
        <f>B9</f>
        <v>Water</v>
      </c>
      <c r="C33" s="31">
        <f t="shared" ref="C33" si="22">C9</f>
        <v>120</v>
      </c>
      <c r="D33" s="32">
        <f t="shared" ref="D33:F33" si="23">D9</f>
        <v>470</v>
      </c>
      <c r="E33" s="32">
        <f t="shared" si="23"/>
        <v>0</v>
      </c>
      <c r="F33" s="42">
        <f t="shared" si="23"/>
        <v>0</v>
      </c>
      <c r="H33">
        <v>20</v>
      </c>
      <c r="I33">
        <f>I29-9</f>
        <v>86</v>
      </c>
      <c r="J33">
        <f t="shared" ref="J33:J37" si="24">J32+9</f>
        <v>76</v>
      </c>
      <c r="K33">
        <v>100</v>
      </c>
    </row>
    <row r="34" spans="1:11" x14ac:dyDescent="0.25">
      <c r="A34" s="35"/>
      <c r="B34" s="13"/>
      <c r="C34" s="13">
        <f t="shared" ref="C34:F34" si="25">C10</f>
        <v>120</v>
      </c>
      <c r="D34" s="12">
        <f t="shared" si="25"/>
        <v>470</v>
      </c>
      <c r="E34" s="12">
        <f t="shared" si="25"/>
        <v>0</v>
      </c>
      <c r="F34" s="14">
        <f t="shared" si="25"/>
        <v>0</v>
      </c>
      <c r="H34">
        <v>21</v>
      </c>
      <c r="I34">
        <f>I29-9</f>
        <v>86</v>
      </c>
      <c r="J34">
        <f t="shared" si="24"/>
        <v>85</v>
      </c>
      <c r="K34">
        <v>100</v>
      </c>
    </row>
    <row r="35" spans="1:11" x14ac:dyDescent="0.25">
      <c r="A35" s="35"/>
      <c r="B35" s="13"/>
      <c r="C35" s="13">
        <f t="shared" ref="C35:F35" si="26">C11</f>
        <v>120</v>
      </c>
      <c r="D35" s="12">
        <f t="shared" si="26"/>
        <v>470</v>
      </c>
      <c r="E35" s="12">
        <f t="shared" si="26"/>
        <v>0</v>
      </c>
      <c r="F35" s="14">
        <f t="shared" si="26"/>
        <v>0</v>
      </c>
      <c r="H35">
        <v>22</v>
      </c>
      <c r="I35">
        <f>I29-9</f>
        <v>86</v>
      </c>
      <c r="J35">
        <f t="shared" si="24"/>
        <v>94</v>
      </c>
      <c r="K35">
        <v>100</v>
      </c>
    </row>
    <row r="36" spans="1:11" x14ac:dyDescent="0.25">
      <c r="A36" s="35"/>
      <c r="B36" s="18" t="str">
        <f t="shared" ref="B36:C42" si="27">B12</f>
        <v>Waste Tank</v>
      </c>
      <c r="C36" s="18">
        <f t="shared" si="27"/>
        <v>120</v>
      </c>
      <c r="D36" s="19">
        <f t="shared" ref="D36:F36" si="28">D12</f>
        <v>550</v>
      </c>
      <c r="E36" s="19">
        <f t="shared" si="28"/>
        <v>0</v>
      </c>
      <c r="F36" s="20">
        <f t="shared" si="28"/>
        <v>0</v>
      </c>
      <c r="H36">
        <v>23</v>
      </c>
      <c r="I36">
        <f>I29-9</f>
        <v>86</v>
      </c>
      <c r="J36">
        <f t="shared" si="24"/>
        <v>103</v>
      </c>
      <c r="K36">
        <v>100</v>
      </c>
    </row>
    <row r="37" spans="1:11" x14ac:dyDescent="0.25">
      <c r="A37" s="35"/>
      <c r="B37" s="18"/>
      <c r="C37" s="18">
        <f t="shared" ref="C37:F37" si="29">C13</f>
        <v>120</v>
      </c>
      <c r="D37" s="19">
        <f t="shared" si="29"/>
        <v>550</v>
      </c>
      <c r="E37" s="19">
        <f t="shared" si="29"/>
        <v>0</v>
      </c>
      <c r="F37" s="20">
        <f t="shared" si="29"/>
        <v>0</v>
      </c>
      <c r="H37">
        <v>24</v>
      </c>
      <c r="I37">
        <f>I29-9</f>
        <v>86</v>
      </c>
      <c r="J37">
        <f t="shared" si="24"/>
        <v>112</v>
      </c>
      <c r="K37">
        <v>100</v>
      </c>
    </row>
    <row r="38" spans="1:11" x14ac:dyDescent="0.25">
      <c r="A38" s="35"/>
      <c r="B38" s="18"/>
      <c r="C38" s="18">
        <f t="shared" ref="C38:F38" si="30">C14</f>
        <v>120</v>
      </c>
      <c r="D38" s="19">
        <f t="shared" si="30"/>
        <v>550</v>
      </c>
      <c r="E38" s="19">
        <f t="shared" si="30"/>
        <v>0</v>
      </c>
      <c r="F38" s="20">
        <f t="shared" si="30"/>
        <v>0</v>
      </c>
    </row>
    <row r="39" spans="1:11" x14ac:dyDescent="0.25">
      <c r="A39" s="35"/>
      <c r="B39" s="13" t="str">
        <f t="shared" si="27"/>
        <v>Water</v>
      </c>
      <c r="C39" s="13">
        <f t="shared" si="27"/>
        <v>120</v>
      </c>
      <c r="D39" s="12">
        <f t="shared" ref="D39:F39" si="31">D15</f>
        <v>470</v>
      </c>
      <c r="E39" s="12">
        <f t="shared" si="31"/>
        <v>0</v>
      </c>
      <c r="F39" s="14">
        <f t="shared" si="31"/>
        <v>0</v>
      </c>
    </row>
    <row r="40" spans="1:11" x14ac:dyDescent="0.25">
      <c r="A40" s="35"/>
      <c r="B40" s="13"/>
      <c r="C40" s="13">
        <f t="shared" ref="C40:F40" si="32">C16</f>
        <v>120</v>
      </c>
      <c r="D40" s="12">
        <f t="shared" si="32"/>
        <v>470</v>
      </c>
      <c r="E40" s="12">
        <f t="shared" si="32"/>
        <v>0</v>
      </c>
      <c r="F40" s="14">
        <f t="shared" si="32"/>
        <v>0</v>
      </c>
    </row>
    <row r="41" spans="1:11" x14ac:dyDescent="0.25">
      <c r="A41" s="35"/>
      <c r="B41" s="13"/>
      <c r="C41" s="13">
        <f t="shared" ref="C41:F41" si="33">C17</f>
        <v>120</v>
      </c>
      <c r="D41" s="12">
        <f t="shared" si="33"/>
        <v>470</v>
      </c>
      <c r="E41" s="12">
        <f t="shared" si="33"/>
        <v>0</v>
      </c>
      <c r="F41" s="14">
        <f t="shared" si="33"/>
        <v>0</v>
      </c>
    </row>
    <row r="42" spans="1:11" x14ac:dyDescent="0.25">
      <c r="A42" s="35"/>
      <c r="B42" s="18" t="str">
        <f t="shared" si="27"/>
        <v>Waste Tank</v>
      </c>
      <c r="C42" s="18">
        <f t="shared" si="27"/>
        <v>120</v>
      </c>
      <c r="D42" s="19">
        <f t="shared" ref="D42:F42" si="34">D18</f>
        <v>550</v>
      </c>
      <c r="E42" s="19">
        <f t="shared" si="34"/>
        <v>0</v>
      </c>
      <c r="F42" s="20">
        <f t="shared" si="34"/>
        <v>0</v>
      </c>
    </row>
    <row r="43" spans="1:11" x14ac:dyDescent="0.25">
      <c r="A43" s="35"/>
      <c r="B43" s="18"/>
      <c r="C43" s="18">
        <f t="shared" ref="C43:F43" si="35">C19</f>
        <v>120</v>
      </c>
      <c r="D43" s="19">
        <f t="shared" si="35"/>
        <v>550</v>
      </c>
      <c r="E43" s="19">
        <f t="shared" si="35"/>
        <v>0</v>
      </c>
      <c r="F43" s="20">
        <f t="shared" si="35"/>
        <v>0</v>
      </c>
    </row>
    <row r="44" spans="1:11" ht="17.25" thickBot="1" x14ac:dyDescent="0.3">
      <c r="A44" s="35"/>
      <c r="B44" s="18"/>
      <c r="C44" s="26">
        <f t="shared" ref="C44:F44" si="36">C20</f>
        <v>120</v>
      </c>
      <c r="D44" s="21">
        <f t="shared" si="36"/>
        <v>550</v>
      </c>
      <c r="E44" s="21">
        <f t="shared" si="36"/>
        <v>0</v>
      </c>
      <c r="F44" s="27">
        <f t="shared" si="36"/>
        <v>0</v>
      </c>
    </row>
    <row r="45" spans="1:11" x14ac:dyDescent="0.25">
      <c r="A45" s="36"/>
      <c r="B45" s="13" t="str">
        <f t="shared" ref="B45:F45" si="37">B21</f>
        <v>Water</v>
      </c>
      <c r="C45" s="13">
        <f t="shared" si="37"/>
        <v>120</v>
      </c>
      <c r="D45" s="12">
        <f t="shared" si="37"/>
        <v>470</v>
      </c>
      <c r="E45" s="12">
        <f t="shared" si="37"/>
        <v>0</v>
      </c>
      <c r="F45" s="14">
        <f t="shared" si="37"/>
        <v>0</v>
      </c>
    </row>
    <row r="46" spans="1:11" x14ac:dyDescent="0.25">
      <c r="A46" s="36"/>
      <c r="B46" s="13"/>
      <c r="C46" s="13">
        <f t="shared" ref="C46:F46" si="38">C22</f>
        <v>120</v>
      </c>
      <c r="D46" s="12">
        <f t="shared" si="38"/>
        <v>470</v>
      </c>
      <c r="E46" s="12">
        <f t="shared" si="38"/>
        <v>0</v>
      </c>
      <c r="F46" s="14">
        <f t="shared" si="38"/>
        <v>0</v>
      </c>
    </row>
    <row r="47" spans="1:11" ht="17.25" thickBot="1" x14ac:dyDescent="0.3">
      <c r="A47" s="36"/>
      <c r="B47" s="13"/>
      <c r="C47" s="13">
        <f t="shared" ref="C47:F47" si="39">C23</f>
        <v>120</v>
      </c>
      <c r="D47" s="12">
        <f t="shared" si="39"/>
        <v>470</v>
      </c>
      <c r="E47" s="12">
        <f t="shared" si="39"/>
        <v>0</v>
      </c>
      <c r="F47" s="14">
        <f t="shared" si="39"/>
        <v>0</v>
      </c>
    </row>
    <row r="48" spans="1:11" x14ac:dyDescent="0.25">
      <c r="A48" s="36"/>
      <c r="B48" s="22" t="str">
        <f t="shared" ref="B48:F48" si="40">B24</f>
        <v>Waste Tank</v>
      </c>
      <c r="C48" s="18">
        <f t="shared" si="40"/>
        <v>120</v>
      </c>
      <c r="D48" s="19">
        <f t="shared" si="40"/>
        <v>550</v>
      </c>
      <c r="E48" s="19">
        <f t="shared" si="40"/>
        <v>0</v>
      </c>
      <c r="F48" s="20">
        <f t="shared" si="40"/>
        <v>0</v>
      </c>
    </row>
    <row r="49" spans="1:6" x14ac:dyDescent="0.25">
      <c r="A49" s="36"/>
      <c r="B49" s="23"/>
      <c r="C49" s="18">
        <f t="shared" ref="C49:F49" si="41">C25</f>
        <v>120</v>
      </c>
      <c r="D49" s="19">
        <f t="shared" si="41"/>
        <v>550</v>
      </c>
      <c r="E49" s="19">
        <f t="shared" si="41"/>
        <v>0</v>
      </c>
      <c r="F49" s="20">
        <f t="shared" si="41"/>
        <v>0</v>
      </c>
    </row>
    <row r="50" spans="1:6" ht="17.25" thickBot="1" x14ac:dyDescent="0.3">
      <c r="A50" s="37"/>
      <c r="B50" s="24"/>
      <c r="C50" s="26">
        <f t="shared" ref="C50:F50" si="42">C26</f>
        <v>120</v>
      </c>
      <c r="D50" s="21">
        <f t="shared" si="42"/>
        <v>550</v>
      </c>
      <c r="E50" s="21">
        <f t="shared" si="42"/>
        <v>0</v>
      </c>
      <c r="F50" s="27">
        <f t="shared" si="42"/>
        <v>0</v>
      </c>
    </row>
  </sheetData>
  <mergeCells count="3">
    <mergeCell ref="A3:A8"/>
    <mergeCell ref="A9:A26"/>
    <mergeCell ref="A27:A3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2020-09-24T06:49:52Z</dcterms:modified>
</cp:coreProperties>
</file>